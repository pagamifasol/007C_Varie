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13_ncr:1_{B9EB5EB9-CAE7-4C7A-907A-D62324010FC1}" xr6:coauthVersionLast="45" xr6:coauthVersionMax="45" xr10:uidLastSave="{00000000-0000-0000-0000-000000000000}"/>
  <bookViews>
    <workbookView xWindow="28680" yWindow="-120" windowWidth="38640" windowHeight="15840" activeTab="1" xr2:uid="{BB027ED1-E4D8-4E19-904B-150DAAB93B09}"/>
  </bookViews>
  <sheets>
    <sheet name="X-rotation" sheetId="1" r:id="rId1"/>
    <sheet name="Inclined-weighing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E7" i="2"/>
  <c r="F27" i="2"/>
  <c r="F25" i="2"/>
  <c r="E27" i="2"/>
  <c r="E25" i="2"/>
  <c r="C26" i="2"/>
  <c r="B26" i="2" s="1"/>
  <c r="C18" i="2"/>
  <c r="B18" i="2" s="1"/>
  <c r="C8" i="2"/>
  <c r="D8" i="2" s="1"/>
  <c r="G8" i="2" s="1"/>
  <c r="H8" i="2" s="1"/>
  <c r="F26" i="2"/>
  <c r="E19" i="2"/>
  <c r="E17" i="2"/>
  <c r="F18" i="2"/>
  <c r="F17" i="2" s="1"/>
  <c r="R11" i="2"/>
  <c r="R12" i="2" s="1"/>
  <c r="F8" i="2"/>
  <c r="O15" i="2"/>
  <c r="O16" i="2" s="1"/>
  <c r="R16" i="2" s="1"/>
  <c r="C17" i="2" l="1"/>
  <c r="B17" i="2" s="1"/>
  <c r="C25" i="2"/>
  <c r="B25" i="2" s="1"/>
  <c r="C27" i="2"/>
  <c r="B27" i="2" s="1"/>
  <c r="D26" i="2"/>
  <c r="D27" i="2" s="1"/>
  <c r="G27" i="2" s="1"/>
  <c r="F19" i="2"/>
  <c r="C7" i="2"/>
  <c r="B7" i="2" s="1"/>
  <c r="C9" i="2"/>
  <c r="C19" i="2"/>
  <c r="B19" i="2" s="1"/>
  <c r="D18" i="2"/>
  <c r="B8" i="2"/>
  <c r="I8" i="2"/>
  <c r="C7" i="1"/>
  <c r="D7" i="1" s="1"/>
  <c r="C3" i="1"/>
  <c r="D3" i="1" s="1"/>
  <c r="C4" i="1"/>
  <c r="D4" i="1"/>
  <c r="C6" i="1"/>
  <c r="D6" i="1" s="1"/>
  <c r="C5" i="1"/>
  <c r="D5" i="1" s="1"/>
  <c r="E5" i="1" s="1"/>
  <c r="H27" i="2" l="1"/>
  <c r="I27" i="2" s="1"/>
  <c r="D7" i="2"/>
  <c r="G7" i="2" s="1"/>
  <c r="D19" i="2"/>
  <c r="G19" i="2" s="1"/>
  <c r="H19" i="2" s="1"/>
  <c r="I19" i="2" s="1"/>
  <c r="D17" i="2"/>
  <c r="G17" i="2" s="1"/>
  <c r="H17" i="2" s="1"/>
  <c r="I17" i="2" s="1"/>
  <c r="D25" i="2"/>
  <c r="G25" i="2" s="1"/>
  <c r="H25" i="2" s="1"/>
  <c r="I25" i="2" s="1"/>
  <c r="G26" i="2"/>
  <c r="H26" i="2" s="1"/>
  <c r="I26" i="2" s="1"/>
  <c r="B9" i="2"/>
  <c r="D9" i="2"/>
  <c r="G9" i="2" s="1"/>
  <c r="G18" i="2"/>
  <c r="H18" i="2" s="1"/>
  <c r="I18" i="2" s="1"/>
  <c r="E7" i="1"/>
  <c r="E6" i="1"/>
  <c r="E4" i="1"/>
  <c r="E3" i="1"/>
  <c r="K25" i="2" l="1"/>
  <c r="K17" i="2"/>
  <c r="F7" i="2"/>
  <c r="H7" i="2"/>
  <c r="I7" i="2" s="1"/>
  <c r="K7" i="2" s="1"/>
  <c r="F9" i="2"/>
  <c r="H9" i="2"/>
  <c r="I9" i="2" s="1"/>
  <c r="K31" i="2" l="1"/>
</calcChain>
</file>

<file path=xl/sharedStrings.xml><?xml version="1.0" encoding="utf-8"?>
<sst xmlns="http://schemas.openxmlformats.org/spreadsheetml/2006/main" count="72" uniqueCount="47">
  <si>
    <t>Front view angle [deg]</t>
  </si>
  <si>
    <t>Complementary [deg]</t>
  </si>
  <si>
    <t>Y length</t>
  </si>
  <si>
    <t>CoG height [mm]</t>
  </si>
  <si>
    <t>[mm]</t>
  </si>
  <si>
    <t>Resolution with 0.1deg inclinometer is +- 1.4mm on CoG height</t>
  </si>
  <si>
    <t>Sensitivity on CoG Y position is 0.7mm of CoG height per 1mm of CoG Y</t>
  </si>
  <si>
    <t>x</t>
  </si>
  <si>
    <t>y</t>
  </si>
  <si>
    <t>z</t>
  </si>
  <si>
    <t>Monocoque COG estimate</t>
  </si>
  <si>
    <t>X distance btw supports</t>
  </si>
  <si>
    <t>[kg]</t>
  </si>
  <si>
    <t>%_W_rear</t>
  </si>
  <si>
    <t>W_rear_at_angle [kg]</t>
  </si>
  <si>
    <t>W_front_at_angle [kg]</t>
  </si>
  <si>
    <t>Front rising (mm)</t>
  </si>
  <si>
    <t>°</t>
  </si>
  <si>
    <t>Varying angle measured</t>
  </si>
  <si>
    <t>b' [mm]</t>
  </si>
  <si>
    <t>b" [mm]</t>
  </si>
  <si>
    <t>Front ground weight [kg]</t>
  </si>
  <si>
    <t>Rear ground weight [kg]</t>
  </si>
  <si>
    <t>Ground weight [kg]</t>
  </si>
  <si>
    <t>a</t>
  </si>
  <si>
    <t>b</t>
  </si>
  <si>
    <t>N.B.</t>
  </si>
  <si>
    <t>LEGENDA</t>
  </si>
  <si>
    <t>input data (user manually inserted)</t>
  </si>
  <si>
    <t>design operating conditions</t>
  </si>
  <si>
    <t>Design inclination angle</t>
  </si>
  <si>
    <t>Weight is assumed as the parameter that will be measured, so it is usually consisdered a user given quantity</t>
  </si>
  <si>
    <t>Actual X distance contact points [mm]</t>
  </si>
  <si>
    <t>Inclination angle [°]</t>
  </si>
  <si>
    <t>CoG_h=delta_b/tan(theta)   [mm]</t>
  </si>
  <si>
    <t>Ruler sensistivity</t>
  </si>
  <si>
    <t>Inclinometer sensitivity</t>
  </si>
  <si>
    <t>[°]</t>
  </si>
  <si>
    <t>tools characteristics</t>
  </si>
  <si>
    <t>Delta_h</t>
  </si>
  <si>
    <t>[mm] per 50g</t>
  </si>
  <si>
    <t>[mm] per 1mm base</t>
  </si>
  <si>
    <t>[mm] per 0.1°</t>
  </si>
  <si>
    <t>Scales sensitivity</t>
  </si>
  <si>
    <t>Varying weight on scales</t>
  </si>
  <si>
    <t>Varying distance measured btw scales</t>
  </si>
  <si>
    <t>TOT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</si>
</sst>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2" borderId="0" xfId="0" applyFill="1"/>
    <xf numFmtId="164" fontId="0" fillId="2" borderId="0" xfId="0" applyNumberFormat="1" applyFill="1"/>
    <xf numFmtId="0" fontId="2" fillId="0" borderId="0" xfId="0" applyFont="1" applyAlignment="1"/>
    <xf numFmtId="0" fontId="1" fillId="0" borderId="0" xfId="0" quotePrefix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3" borderId="0" xfId="0" applyFont="1" applyFill="1"/>
    <xf numFmtId="10" fontId="0" fillId="0" borderId="0" xfId="0" applyNumberFormat="1"/>
    <xf numFmtId="0" fontId="0" fillId="4" borderId="0" xfId="0" applyFill="1"/>
    <xf numFmtId="0" fontId="0" fillId="0" borderId="0" xfId="0" applyFill="1"/>
    <xf numFmtId="0" fontId="0" fillId="5" borderId="0" xfId="0" applyFill="1"/>
    <xf numFmtId="0" fontId="2" fillId="6" borderId="0" xfId="0" applyFont="1" applyFill="1"/>
    <xf numFmtId="0" fontId="2" fillId="0" borderId="0" xfId="0" applyFont="1" applyFill="1"/>
    <xf numFmtId="0" fontId="3" fillId="7" borderId="0" xfId="0" applyFont="1" applyFill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0" fillId="9" borderId="5" xfId="0" applyFont="1" applyFill="1" applyBorder="1"/>
    <xf numFmtId="0" fontId="0" fillId="9" borderId="0" xfId="0" applyFont="1" applyFill="1" applyBorder="1"/>
    <xf numFmtId="0" fontId="0" fillId="9" borderId="10" xfId="0" applyFont="1" applyFill="1" applyBorder="1"/>
    <xf numFmtId="0" fontId="0" fillId="9" borderId="0" xfId="0" applyFill="1"/>
    <xf numFmtId="0" fontId="0" fillId="10" borderId="0" xfId="0" applyFill="1"/>
    <xf numFmtId="0" fontId="2" fillId="10" borderId="0" xfId="0" applyFont="1" applyFill="1" applyAlignment="1">
      <alignment horizontal="center"/>
    </xf>
    <xf numFmtId="2" fontId="0" fillId="10" borderId="1" xfId="0" applyNumberFormat="1" applyFill="1" applyBorder="1" applyAlignment="1">
      <alignment horizontal="center" vertical="center"/>
    </xf>
    <xf numFmtId="2" fontId="0" fillId="10" borderId="2" xfId="0" applyNumberFormat="1" applyFill="1" applyBorder="1" applyAlignment="1">
      <alignment horizontal="center" vertical="center"/>
    </xf>
    <xf numFmtId="2" fontId="0" fillId="10" borderId="3" xfId="0" applyNumberFormat="1" applyFill="1" applyBorder="1" applyAlignment="1">
      <alignment horizontal="center" vertical="center"/>
    </xf>
    <xf numFmtId="2" fontId="2" fillId="1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</xdr:rowOff>
    </xdr:from>
    <xdr:to>
      <xdr:col>12</xdr:col>
      <xdr:colOff>495299</xdr:colOff>
      <xdr:row>24</xdr:row>
      <xdr:rowOff>187397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C04DEE-9237-4EA7-B1F2-C0F4C5F69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571501"/>
          <a:ext cx="4152899" cy="4187896"/>
        </a:xfrm>
        <a:prstGeom prst="rect">
          <a:avLst/>
        </a:prstGeom>
      </xdr:spPr>
    </xdr:pic>
    <xdr:clientData/>
  </xdr:twoCellAnchor>
  <xdr:twoCellAnchor>
    <xdr:from>
      <xdr:col>9</xdr:col>
      <xdr:colOff>409575</xdr:colOff>
      <xdr:row>16</xdr:row>
      <xdr:rowOff>152400</xdr:rowOff>
    </xdr:from>
    <xdr:to>
      <xdr:col>11</xdr:col>
      <xdr:colOff>114300</xdr:colOff>
      <xdr:row>24</xdr:row>
      <xdr:rowOff>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011E8A9-EABE-4700-9232-F730E9DFB84E}"/>
            </a:ext>
          </a:extLst>
        </xdr:cNvPr>
        <xdr:cNvCxnSpPr/>
      </xdr:nvCxnSpPr>
      <xdr:spPr>
        <a:xfrm flipV="1">
          <a:off x="8220075" y="3200400"/>
          <a:ext cx="923925" cy="1371601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12</xdr:row>
      <xdr:rowOff>180975</xdr:rowOff>
    </xdr:from>
    <xdr:to>
      <xdr:col>11</xdr:col>
      <xdr:colOff>276225</xdr:colOff>
      <xdr:row>17</xdr:row>
      <xdr:rowOff>76200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07279FC-C8B7-4F4F-A3DE-A9BF8424E38C}"/>
            </a:ext>
          </a:extLst>
        </xdr:cNvPr>
        <xdr:cNvCxnSpPr/>
      </xdr:nvCxnSpPr>
      <xdr:spPr>
        <a:xfrm>
          <a:off x="8134350" y="2466975"/>
          <a:ext cx="1171575" cy="8477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409575</xdr:colOff>
      <xdr:row>20</xdr:row>
      <xdr:rowOff>9525</xdr:rowOff>
    </xdr:from>
    <xdr:ext cx="649793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69AD8F7-2579-4927-B43C-7A55BB0EDD36}"/>
            </a:ext>
          </a:extLst>
        </xdr:cNvPr>
        <xdr:cNvSpPr txBox="1"/>
      </xdr:nvSpPr>
      <xdr:spPr>
        <a:xfrm>
          <a:off x="8829675" y="3819525"/>
          <a:ext cx="649793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Y length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625273</xdr:colOff>
      <xdr:row>28</xdr:row>
      <xdr:rowOff>7749</xdr:rowOff>
    </xdr:from>
    <xdr:to>
      <xdr:col>6</xdr:col>
      <xdr:colOff>1161379</xdr:colOff>
      <xdr:row>47</xdr:row>
      <xdr:rowOff>168522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1D443F-E16D-435D-9E7E-FA21A63E7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83626" y="5106425"/>
          <a:ext cx="5657418" cy="357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7D11-754D-4977-9193-6F3AA4AAE0A1}">
  <dimension ref="B2:I12"/>
  <sheetViews>
    <sheetView workbookViewId="0">
      <selection activeCell="E3" sqref="E3"/>
    </sheetView>
  </sheetViews>
  <sheetFormatPr defaultRowHeight="14.4" x14ac:dyDescent="0.3"/>
  <cols>
    <col min="1" max="1" width="3.6640625" customWidth="1"/>
    <col min="2" max="4" width="22.5546875" customWidth="1"/>
  </cols>
  <sheetData>
    <row r="2" spans="2:9" x14ac:dyDescent="0.3">
      <c r="B2" s="5" t="s">
        <v>0</v>
      </c>
      <c r="C2" s="5" t="s">
        <v>1</v>
      </c>
      <c r="D2" s="5" t="s">
        <v>3</v>
      </c>
      <c r="E2" s="5" t="s">
        <v>4</v>
      </c>
      <c r="G2" s="2" t="s">
        <v>2</v>
      </c>
      <c r="H2">
        <v>530</v>
      </c>
      <c r="I2" t="s">
        <v>4</v>
      </c>
    </row>
    <row r="3" spans="2:9" x14ac:dyDescent="0.3">
      <c r="B3">
        <v>54.9</v>
      </c>
      <c r="C3">
        <f t="shared" ref="C3:C4" si="0">90-B3</f>
        <v>35.1</v>
      </c>
      <c r="D3" s="1">
        <f t="shared" ref="D3:D4" si="1">$H$2*TAN(C3/180*PI())</f>
        <v>372.49023875738936</v>
      </c>
      <c r="E3" s="1">
        <f t="shared" ref="E3:E4" si="2">D3-$D$5</f>
        <v>2.7571175558300638</v>
      </c>
    </row>
    <row r="4" spans="2:9" x14ac:dyDescent="0.3">
      <c r="B4">
        <v>55</v>
      </c>
      <c r="C4">
        <f t="shared" si="0"/>
        <v>35</v>
      </c>
      <c r="D4" s="1">
        <f t="shared" si="1"/>
        <v>371.10999525114613</v>
      </c>
      <c r="E4" s="1">
        <f t="shared" si="2"/>
        <v>1.3768740495868315</v>
      </c>
    </row>
    <row r="5" spans="2:9" x14ac:dyDescent="0.3">
      <c r="B5" s="3">
        <v>55.1</v>
      </c>
      <c r="C5" s="3">
        <f>90-B5</f>
        <v>34.9</v>
      </c>
      <c r="D5" s="4">
        <f>$H$2*TAN(C5/180*PI())</f>
        <v>369.7331212015593</v>
      </c>
      <c r="E5" s="1">
        <f>D5-$D$5</f>
        <v>0</v>
      </c>
    </row>
    <row r="6" spans="2:9" x14ac:dyDescent="0.3">
      <c r="B6">
        <v>55.2</v>
      </c>
      <c r="C6">
        <f>90-B6</f>
        <v>34.799999999999997</v>
      </c>
      <c r="D6" s="1">
        <f>$H$2*TAN(C6/180*PI())</f>
        <v>368.35959592758689</v>
      </c>
      <c r="E6" s="1">
        <f t="shared" ref="E6:E7" si="3">D6-$D$5</f>
        <v>-1.3735252739724046</v>
      </c>
    </row>
    <row r="7" spans="2:9" x14ac:dyDescent="0.3">
      <c r="B7">
        <v>55.3</v>
      </c>
      <c r="C7">
        <f>90-B7</f>
        <v>34.700000000000003</v>
      </c>
      <c r="D7" s="1">
        <f>$H$2*TAN(C7/180*PI())</f>
        <v>366.98939888936951</v>
      </c>
      <c r="E7" s="1">
        <f t="shared" si="3"/>
        <v>-2.7437223121897887</v>
      </c>
    </row>
    <row r="10" spans="2:9" x14ac:dyDescent="0.3">
      <c r="B10" s="6" t="s">
        <v>5</v>
      </c>
    </row>
    <row r="12" spans="2:9" x14ac:dyDescent="0.3">
      <c r="B12" t="s">
        <v>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C48C-B548-4DFD-8EDA-39D06963BD87}">
  <dimension ref="B2:X40"/>
  <sheetViews>
    <sheetView tabSelected="1" zoomScale="85" zoomScaleNormal="85" workbookViewId="0">
      <selection activeCell="O4" sqref="O4"/>
    </sheetView>
  </sheetViews>
  <sheetFormatPr defaultRowHeight="14.4" x14ac:dyDescent="0.3"/>
  <cols>
    <col min="1" max="1" width="3.6640625" customWidth="1"/>
    <col min="2" max="2" width="20.88671875" customWidth="1"/>
    <col min="3" max="3" width="18.6640625" customWidth="1"/>
    <col min="4" max="4" width="33.44140625" bestFit="1" customWidth="1"/>
    <col min="5" max="5" width="20.6640625" customWidth="1"/>
    <col min="6" max="6" width="20.21875" bestFit="1" customWidth="1"/>
    <col min="7" max="8" width="21.6640625" customWidth="1"/>
    <col min="9" max="9" width="29.88671875" bestFit="1" customWidth="1"/>
    <col min="10" max="10" width="13.5546875" customWidth="1"/>
    <col min="11" max="11" width="13.6640625" style="32" customWidth="1"/>
    <col min="12" max="12" width="18.21875" bestFit="1" customWidth="1"/>
    <col min="14" max="14" width="24.5546875" bestFit="1" customWidth="1"/>
    <col min="17" max="17" width="22.21875" bestFit="1" customWidth="1"/>
  </cols>
  <sheetData>
    <row r="2" spans="2:19" x14ac:dyDescent="0.3">
      <c r="B2" s="16" t="s">
        <v>44</v>
      </c>
      <c r="C2" s="16"/>
    </row>
    <row r="3" spans="2:19" ht="15" thickBot="1" x14ac:dyDescent="0.35">
      <c r="N3" s="2" t="s">
        <v>30</v>
      </c>
      <c r="O3" s="13">
        <v>30</v>
      </c>
      <c r="P3" s="13" t="s">
        <v>17</v>
      </c>
    </row>
    <row r="4" spans="2:19" x14ac:dyDescent="0.3">
      <c r="B4" s="2" t="s">
        <v>16</v>
      </c>
      <c r="C4" s="2" t="s">
        <v>33</v>
      </c>
      <c r="D4" s="2" t="s">
        <v>32</v>
      </c>
      <c r="E4" s="2" t="s">
        <v>14</v>
      </c>
      <c r="F4" s="2" t="s">
        <v>15</v>
      </c>
      <c r="G4" s="10" t="s">
        <v>20</v>
      </c>
      <c r="H4" s="10" t="s">
        <v>19</v>
      </c>
      <c r="I4" s="10" t="s">
        <v>34</v>
      </c>
      <c r="J4" s="2"/>
      <c r="K4" s="33" t="s">
        <v>39</v>
      </c>
      <c r="N4" s="22" t="s">
        <v>43</v>
      </c>
      <c r="O4" s="28">
        <v>0.05</v>
      </c>
      <c r="P4" s="23" t="s">
        <v>12</v>
      </c>
    </row>
    <row r="5" spans="2:19" x14ac:dyDescent="0.3">
      <c r="N5" s="24" t="s">
        <v>35</v>
      </c>
      <c r="O5" s="29">
        <v>1</v>
      </c>
      <c r="P5" s="25" t="s">
        <v>4</v>
      </c>
    </row>
    <row r="6" spans="2:19" ht="15" thickBot="1" x14ac:dyDescent="0.35">
      <c r="N6" s="26" t="s">
        <v>36</v>
      </c>
      <c r="O6" s="30">
        <v>0.1</v>
      </c>
      <c r="P6" s="27" t="s">
        <v>37</v>
      </c>
    </row>
    <row r="7" spans="2:19" x14ac:dyDescent="0.3">
      <c r="B7" s="15">
        <f>$R$9*SIN(C7*PI()/180)</f>
        <v>986.13999999999987</v>
      </c>
      <c r="C7">
        <f>C8</f>
        <v>30</v>
      </c>
      <c r="D7">
        <f>$R$9*COS(C7*PI()/180)</f>
        <v>1708.0445833759727</v>
      </c>
      <c r="E7" s="3">
        <f>E8-$O$4</f>
        <v>55.800000000000004</v>
      </c>
      <c r="F7" s="14">
        <f>$O$18-E7</f>
        <v>34.199999999999996</v>
      </c>
      <c r="G7" s="15">
        <f>(($O$18-E7)/$O$18)*(D7)</f>
        <v>649.05694168286959</v>
      </c>
      <c r="H7" s="15">
        <f>G7/COS(C7*PI()/180)</f>
        <v>749.46639999999991</v>
      </c>
      <c r="I7" s="19">
        <f>($R$12-H7)/TAN(C7*PI()/180)</f>
        <v>368.60396774164013</v>
      </c>
      <c r="K7" s="34">
        <f>I8-I7</f>
        <v>1.8978273148623543</v>
      </c>
    </row>
    <row r="8" spans="2:19" x14ac:dyDescent="0.3">
      <c r="B8" s="15">
        <f>$R$9*SIN(C8*PI()/180)</f>
        <v>986.13999999999987</v>
      </c>
      <c r="C8" s="13">
        <f>$O$3</f>
        <v>30</v>
      </c>
      <c r="D8" s="15">
        <f>$R$9*COS(C8*PI()/180)</f>
        <v>1708.0445833759727</v>
      </c>
      <c r="E8" s="3">
        <v>55.85</v>
      </c>
      <c r="F8" s="15">
        <f>$O$18-E8</f>
        <v>34.15</v>
      </c>
      <c r="G8" s="15">
        <f>(($O$18-E8)/$O$18)*(D8)</f>
        <v>648.10802802543844</v>
      </c>
      <c r="H8" s="15">
        <f>G8/COS(C8*PI()/180)</f>
        <v>748.37068888888871</v>
      </c>
      <c r="I8" s="20">
        <f>($R$12-H8)/TAN(C8*PI()/180)</f>
        <v>370.50179505650249</v>
      </c>
      <c r="K8" s="35"/>
      <c r="L8" s="2" t="s">
        <v>40</v>
      </c>
    </row>
    <row r="9" spans="2:19" ht="15" thickBot="1" x14ac:dyDescent="0.35">
      <c r="B9" s="15">
        <f>$R$9*SIN(C9*PI()/180)</f>
        <v>986.13999999999987</v>
      </c>
      <c r="C9">
        <f>C8</f>
        <v>30</v>
      </c>
      <c r="D9" s="15">
        <f>$R$9*COS(C9*PI()/180)</f>
        <v>1708.0445833759727</v>
      </c>
      <c r="E9" s="3">
        <f>E8+$O$4</f>
        <v>55.9</v>
      </c>
      <c r="F9" s="14">
        <f>$O$18-E9</f>
        <v>34.1</v>
      </c>
      <c r="G9" s="15">
        <f>(($O$18-E9)/$O$18)*(D9)</f>
        <v>647.15911436800741</v>
      </c>
      <c r="H9" s="15">
        <f>G9/COS(C9*PI()/180)</f>
        <v>747.27497777777774</v>
      </c>
      <c r="I9" s="21">
        <f>($R$12-H9)/TAN(C9*PI()/180)</f>
        <v>372.39962237136444</v>
      </c>
      <c r="K9" s="36"/>
      <c r="N9" s="2" t="s">
        <v>10</v>
      </c>
      <c r="Q9" s="2" t="s">
        <v>11</v>
      </c>
      <c r="R9">
        <v>1972.28</v>
      </c>
      <c r="S9" s="2" t="s">
        <v>4</v>
      </c>
    </row>
    <row r="10" spans="2:19" x14ac:dyDescent="0.3">
      <c r="N10" s="7" t="s">
        <v>7</v>
      </c>
      <c r="O10">
        <v>1010</v>
      </c>
      <c r="P10" t="s">
        <v>4</v>
      </c>
    </row>
    <row r="11" spans="2:19" x14ac:dyDescent="0.3">
      <c r="N11" s="7" t="s">
        <v>8</v>
      </c>
      <c r="O11">
        <v>0</v>
      </c>
      <c r="P11" t="s">
        <v>4</v>
      </c>
      <c r="Q11" s="2" t="s">
        <v>24</v>
      </c>
      <c r="R11">
        <f>O10</f>
        <v>1010</v>
      </c>
      <c r="S11" s="2" t="s">
        <v>4</v>
      </c>
    </row>
    <row r="12" spans="2:19" x14ac:dyDescent="0.3">
      <c r="N12" s="7" t="s">
        <v>9</v>
      </c>
      <c r="O12" s="11">
        <v>370</v>
      </c>
      <c r="P12" t="s">
        <v>4</v>
      </c>
      <c r="Q12" s="2" t="s">
        <v>25</v>
      </c>
      <c r="R12">
        <f>R9-R11</f>
        <v>962.28</v>
      </c>
      <c r="S12" s="2" t="s">
        <v>4</v>
      </c>
    </row>
    <row r="13" spans="2:19" x14ac:dyDescent="0.3">
      <c r="B13" s="16" t="s">
        <v>45</v>
      </c>
      <c r="C13" s="16"/>
    </row>
    <row r="14" spans="2:19" x14ac:dyDescent="0.3">
      <c r="B14" s="17"/>
      <c r="C14" s="17"/>
      <c r="D14" s="14"/>
      <c r="E14" s="14"/>
      <c r="F14" s="14"/>
      <c r="G14" s="14"/>
      <c r="H14" s="14"/>
      <c r="I14" s="14"/>
    </row>
    <row r="15" spans="2:19" x14ac:dyDescent="0.3">
      <c r="B15" s="2" t="s">
        <v>16</v>
      </c>
      <c r="C15" s="2" t="s">
        <v>33</v>
      </c>
      <c r="D15" s="2" t="s">
        <v>32</v>
      </c>
      <c r="E15" s="2" t="s">
        <v>14</v>
      </c>
      <c r="F15" s="2" t="s">
        <v>15</v>
      </c>
      <c r="G15" s="10" t="s">
        <v>20</v>
      </c>
      <c r="H15" s="10" t="s">
        <v>19</v>
      </c>
      <c r="I15" s="10" t="s">
        <v>34</v>
      </c>
      <c r="N15" s="8" t="s">
        <v>21</v>
      </c>
      <c r="O15" s="14">
        <f>$O$18*(1-($O$10/$R$9))</f>
        <v>43.911209361753912</v>
      </c>
    </row>
    <row r="16" spans="2:19" ht="15" thickBot="1" x14ac:dyDescent="0.35">
      <c r="B16" s="2"/>
      <c r="C16" s="2"/>
      <c r="D16" s="2"/>
      <c r="E16" s="2"/>
      <c r="F16" s="2"/>
      <c r="G16" s="10"/>
      <c r="H16" s="10"/>
      <c r="I16" s="10"/>
      <c r="N16" s="8" t="s">
        <v>22</v>
      </c>
      <c r="O16" s="14">
        <f>O18-O15</f>
        <v>46.088790638246088</v>
      </c>
      <c r="Q16" s="2" t="s">
        <v>13</v>
      </c>
      <c r="R16" s="12">
        <f>O16/O18</f>
        <v>0.51209767375828985</v>
      </c>
    </row>
    <row r="17" spans="2:24" x14ac:dyDescent="0.3">
      <c r="B17" s="14">
        <f>$R$9*SIN(C17*PI()/180)</f>
        <v>986.13999999999987</v>
      </c>
      <c r="C17">
        <f>C18</f>
        <v>30</v>
      </c>
      <c r="D17" s="3">
        <f>D18-$O$5</f>
        <v>1707.0445833759727</v>
      </c>
      <c r="E17">
        <f>E18</f>
        <v>55.85</v>
      </c>
      <c r="F17">
        <f>F18</f>
        <v>34.15</v>
      </c>
      <c r="G17" s="14">
        <f>(($O$18-E17)/$O$18)*(D17)</f>
        <v>647.72858358099404</v>
      </c>
      <c r="H17" s="14">
        <f>G17/COS(C17*PI()/180)</f>
        <v>747.93254418460378</v>
      </c>
      <c r="I17" s="19">
        <f>($R$12-H17)/TAN(C17*PI()/180)</f>
        <v>371.26068394539124</v>
      </c>
      <c r="K17" s="34">
        <f>I18-I19</f>
        <v>0.75888888888908923</v>
      </c>
      <c r="N17" s="8"/>
      <c r="O17" s="14"/>
      <c r="Q17" s="2"/>
      <c r="R17" s="12"/>
    </row>
    <row r="18" spans="2:24" x14ac:dyDescent="0.3">
      <c r="B18" s="15">
        <f>$R$9*SIN(C18*PI()/180)</f>
        <v>986.13999999999987</v>
      </c>
      <c r="C18" s="13">
        <f>$O$3</f>
        <v>30</v>
      </c>
      <c r="D18" s="3">
        <f>$R$9*COS(C18*PI()/180)</f>
        <v>1708.0445833759727</v>
      </c>
      <c r="E18" s="3">
        <v>55.85</v>
      </c>
      <c r="F18" s="15">
        <f>$O$18-E18</f>
        <v>34.15</v>
      </c>
      <c r="G18" s="15">
        <f>(($O$18-E18)/$O$18)*(D18)</f>
        <v>648.10802802543844</v>
      </c>
      <c r="H18" s="15">
        <f>G18/COS(C18*PI()/180)</f>
        <v>748.37068888888871</v>
      </c>
      <c r="I18" s="20">
        <f>($R$12-H18)/TAN(C18*PI()/180)</f>
        <v>370.50179505650249</v>
      </c>
      <c r="K18" s="35"/>
      <c r="L18" s="2" t="s">
        <v>41</v>
      </c>
      <c r="N18" s="8" t="s">
        <v>23</v>
      </c>
      <c r="O18" s="3">
        <v>90</v>
      </c>
    </row>
    <row r="19" spans="2:24" ht="15" thickBot="1" x14ac:dyDescent="0.35">
      <c r="B19" s="14">
        <f>$R$9*SIN(C19*PI()/180)</f>
        <v>986.13999999999987</v>
      </c>
      <c r="C19">
        <f>C18</f>
        <v>30</v>
      </c>
      <c r="D19" s="3">
        <f>D18+$O$5</f>
        <v>1709.0445833759727</v>
      </c>
      <c r="E19">
        <f>E18</f>
        <v>55.85</v>
      </c>
      <c r="F19">
        <f>F18</f>
        <v>34.15</v>
      </c>
      <c r="G19" s="14">
        <f>(($O$18-E19)/$O$18)*(D19)</f>
        <v>648.48747246988296</v>
      </c>
      <c r="H19" s="14">
        <f>G19/COS(C19*PI()/180)</f>
        <v>748.80883359317386</v>
      </c>
      <c r="I19" s="21">
        <f>($R$12-H19)/TAN(C19*PI()/180)</f>
        <v>369.7429061676134</v>
      </c>
      <c r="K19" s="36"/>
      <c r="N19" s="9"/>
    </row>
    <row r="21" spans="2:24" s="14" customFormat="1" x14ac:dyDescent="0.3">
      <c r="B21" s="16" t="s">
        <v>18</v>
      </c>
      <c r="C21" s="17"/>
      <c r="D21"/>
      <c r="E21"/>
      <c r="F21"/>
      <c r="G21"/>
      <c r="H21"/>
      <c r="I21"/>
      <c r="K21" s="32"/>
      <c r="N21" s="18" t="s">
        <v>27</v>
      </c>
      <c r="O21"/>
      <c r="P21" s="3"/>
      <c r="Q21" t="s">
        <v>28</v>
      </c>
      <c r="R21"/>
      <c r="S21"/>
      <c r="T21"/>
      <c r="U21"/>
      <c r="V21"/>
      <c r="W21"/>
      <c r="X21"/>
    </row>
    <row r="22" spans="2:24" s="14" customFormat="1" x14ac:dyDescent="0.3">
      <c r="B22" s="17"/>
      <c r="C22" s="17"/>
      <c r="D22"/>
      <c r="E22"/>
      <c r="F22"/>
      <c r="G22"/>
      <c r="H22"/>
      <c r="I22"/>
      <c r="K22" s="32"/>
      <c r="N22"/>
      <c r="O22"/>
      <c r="P22" s="13"/>
      <c r="Q22" t="s">
        <v>29</v>
      </c>
      <c r="R22"/>
      <c r="S22"/>
      <c r="T22"/>
      <c r="U22"/>
      <c r="V22"/>
      <c r="W22"/>
      <c r="X22"/>
    </row>
    <row r="23" spans="2:24" s="14" customFormat="1" x14ac:dyDescent="0.3">
      <c r="B23" s="2" t="s">
        <v>16</v>
      </c>
      <c r="C23" s="2" t="s">
        <v>33</v>
      </c>
      <c r="D23" s="2" t="s">
        <v>32</v>
      </c>
      <c r="E23" s="2" t="s">
        <v>14</v>
      </c>
      <c r="F23" s="2" t="s">
        <v>15</v>
      </c>
      <c r="G23" s="10" t="s">
        <v>20</v>
      </c>
      <c r="H23" s="10" t="s">
        <v>19</v>
      </c>
      <c r="I23" s="10" t="s">
        <v>34</v>
      </c>
      <c r="K23" s="32"/>
      <c r="N23"/>
      <c r="O23"/>
      <c r="P23" s="31"/>
      <c r="Q23" t="s">
        <v>38</v>
      </c>
      <c r="R23"/>
      <c r="S23"/>
      <c r="T23"/>
      <c r="U23"/>
      <c r="V23"/>
      <c r="W23"/>
      <c r="X23"/>
    </row>
    <row r="24" spans="2:24" ht="15" thickBot="1" x14ac:dyDescent="0.35"/>
    <row r="25" spans="2:24" x14ac:dyDescent="0.3">
      <c r="B25" s="14">
        <f>$R$9*SIN(C25*PI()/180)</f>
        <v>983.15739936168438</v>
      </c>
      <c r="C25" s="3">
        <f>C26-$O$6</f>
        <v>29.9</v>
      </c>
      <c r="D25">
        <f>D26</f>
        <v>1708.0445833759727</v>
      </c>
      <c r="E25">
        <f>E26</f>
        <v>55.85</v>
      </c>
      <c r="F25" s="14">
        <f>$O$18-E25</f>
        <v>34.15</v>
      </c>
      <c r="G25" s="14">
        <f>(($O$18-E25)/$O$18)*(D25)</f>
        <v>648.10802802543844</v>
      </c>
      <c r="H25" s="14">
        <f>G25/COS(C25*PI()/180)</f>
        <v>747.61847800352405</v>
      </c>
      <c r="I25" s="19">
        <f>($R$12-H25)/TAN(C25*PI()/180)</f>
        <v>373.30782825714124</v>
      </c>
      <c r="K25" s="34">
        <f>I25-I26</f>
        <v>2.8060332006387512</v>
      </c>
      <c r="W25" s="14"/>
    </row>
    <row r="26" spans="2:24" x14ac:dyDescent="0.3">
      <c r="B26" s="15">
        <f>$R$9*SIN(C26*PI()/180)</f>
        <v>986.13999999999987</v>
      </c>
      <c r="C26" s="13">
        <f>$O$3</f>
        <v>30</v>
      </c>
      <c r="D26" s="15">
        <f>$R$9*COS(C26*PI()/180)</f>
        <v>1708.0445833759727</v>
      </c>
      <c r="E26" s="3">
        <v>55.85</v>
      </c>
      <c r="F26" s="15">
        <f>$O$18-E26</f>
        <v>34.15</v>
      </c>
      <c r="G26" s="15">
        <f>(($O$18-E26)/$O$18)*(D26)</f>
        <v>648.10802802543844</v>
      </c>
      <c r="H26" s="15">
        <f>G26/COS(C26*PI()/180)</f>
        <v>748.37068888888871</v>
      </c>
      <c r="I26" s="20">
        <f>($R$12-H26)/TAN(C26*PI()/180)</f>
        <v>370.50179505650249</v>
      </c>
      <c r="K26" s="35"/>
      <c r="L26" s="2" t="s">
        <v>42</v>
      </c>
      <c r="N26" s="2" t="s">
        <v>26</v>
      </c>
      <c r="O26" t="s">
        <v>31</v>
      </c>
    </row>
    <row r="27" spans="2:24" ht="15" thickBot="1" x14ac:dyDescent="0.35">
      <c r="B27" s="14">
        <f>$R$9*SIN(C27*PI()/180)</f>
        <v>989.11959668485463</v>
      </c>
      <c r="C27" s="3">
        <f>C26+$O$6</f>
        <v>30.1</v>
      </c>
      <c r="D27">
        <f>D26</f>
        <v>1708.0445833759727</v>
      </c>
      <c r="E27">
        <f>E26</f>
        <v>55.85</v>
      </c>
      <c r="F27" s="14">
        <f>$O$18-E27</f>
        <v>34.15</v>
      </c>
      <c r="G27" s="14">
        <f>(($O$18-E27)/$O$18)*(D27)</f>
        <v>648.10802802543844</v>
      </c>
      <c r="H27" s="14">
        <f>G27/COS(C27*PI()/180)</f>
        <v>749.1266992298963</v>
      </c>
      <c r="I27" s="21">
        <f>($R$12-H27)/TAN(C27*PI()/180)</f>
        <v>367.70873940779211</v>
      </c>
      <c r="K27" s="36"/>
      <c r="W27" s="14"/>
    </row>
    <row r="28" spans="2:24" x14ac:dyDescent="0.3">
      <c r="W28" s="14"/>
    </row>
    <row r="29" spans="2:24" x14ac:dyDescent="0.3">
      <c r="W29" s="14"/>
    </row>
    <row r="30" spans="2:24" x14ac:dyDescent="0.3">
      <c r="W30" s="14"/>
    </row>
    <row r="31" spans="2:24" x14ac:dyDescent="0.3">
      <c r="J31" s="2" t="s">
        <v>46</v>
      </c>
      <c r="K31" s="37">
        <f>K7+K17+K25</f>
        <v>5.4627494043901947</v>
      </c>
      <c r="L31" s="2" t="s">
        <v>4</v>
      </c>
      <c r="W31" s="14"/>
    </row>
    <row r="32" spans="2:24" x14ac:dyDescent="0.3">
      <c r="W32" s="14"/>
    </row>
    <row r="33" spans="23:23" x14ac:dyDescent="0.3">
      <c r="W33" s="14"/>
    </row>
    <row r="34" spans="23:23" x14ac:dyDescent="0.3">
      <c r="W34" s="14"/>
    </row>
    <row r="35" spans="23:23" x14ac:dyDescent="0.3">
      <c r="W35" s="14"/>
    </row>
    <row r="36" spans="23:23" x14ac:dyDescent="0.3">
      <c r="W36" s="14"/>
    </row>
    <row r="37" spans="23:23" x14ac:dyDescent="0.3">
      <c r="W37" s="14"/>
    </row>
    <row r="38" spans="23:23" x14ac:dyDescent="0.3">
      <c r="W38" s="14"/>
    </row>
    <row r="39" spans="23:23" x14ac:dyDescent="0.3">
      <c r="W39" s="14"/>
    </row>
    <row r="40" spans="23:23" x14ac:dyDescent="0.3">
      <c r="W40" s="14"/>
    </row>
  </sheetData>
  <mergeCells count="3">
    <mergeCell ref="K7:K9"/>
    <mergeCell ref="K17:K19"/>
    <mergeCell ref="K25:K2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X-rotation</vt:lpstr>
      <vt:lpstr>Inclined-weighing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dcterms:created xsi:type="dcterms:W3CDTF">2020-11-18T13:46:23Z</dcterms:created>
  <dcterms:modified xsi:type="dcterms:W3CDTF">2020-11-30T14:44:10Z</dcterms:modified>
</cp:coreProperties>
</file>