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Utilità_Giornaliera\CoG_Measurement\"/>
    </mc:Choice>
  </mc:AlternateContent>
  <xr:revisionPtr revIDLastSave="0" documentId="13_ncr:1_{18B9EEFA-3E4E-4349-8DE1-BE8D58748440}" xr6:coauthVersionLast="45" xr6:coauthVersionMax="45" xr10:uidLastSave="{00000000-0000-0000-0000-000000000000}"/>
  <bookViews>
    <workbookView xWindow="28680" yWindow="-120" windowWidth="38640" windowHeight="15840" activeTab="1" xr2:uid="{00000000-000D-0000-FFFF-FFFF00000000}"/>
  </bookViews>
  <sheets>
    <sheet name="Long_Inclination" sheetId="2" r:id="rId1"/>
    <sheet name="Vertical_Chassis" sheetId="3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3" l="1"/>
  <c r="J5" i="3"/>
  <c r="H5" i="3"/>
  <c r="I4" i="3"/>
  <c r="J4" i="3"/>
  <c r="H4" i="3"/>
  <c r="I3" i="3"/>
  <c r="J3" i="3"/>
  <c r="H3" i="3"/>
  <c r="I8" i="2"/>
  <c r="J8" i="2"/>
  <c r="H8" i="2"/>
  <c r="I7" i="2"/>
  <c r="J7" i="2"/>
  <c r="H7" i="2"/>
  <c r="I6" i="2"/>
  <c r="J6" i="2"/>
  <c r="H6" i="2"/>
  <c r="J43" i="2" l="1"/>
  <c r="I43" i="2"/>
  <c r="H43" i="2"/>
  <c r="H42" i="2"/>
  <c r="I42" i="2"/>
  <c r="J42" i="2"/>
  <c r="J41" i="2"/>
  <c r="I41" i="2"/>
  <c r="H41" i="2"/>
  <c r="J34" i="3"/>
  <c r="I34" i="3"/>
  <c r="H34" i="3"/>
  <c r="H33" i="3"/>
  <c r="I33" i="3"/>
  <c r="J33" i="3"/>
  <c r="H8" i="3"/>
  <c r="I8" i="3"/>
  <c r="J8" i="3"/>
  <c r="J11" i="2"/>
  <c r="I11" i="2"/>
  <c r="H11" i="2"/>
  <c r="H12" i="2"/>
  <c r="I12" i="2"/>
  <c r="J12" i="2"/>
  <c r="O19" i="2"/>
  <c r="N19" i="2"/>
  <c r="M19" i="2"/>
  <c r="M32" i="2"/>
  <c r="N32" i="2"/>
  <c r="O32" i="2"/>
  <c r="T8" i="2" l="1"/>
  <c r="U8" i="2"/>
  <c r="S8" i="2"/>
  <c r="N34" i="2"/>
  <c r="O34" i="2"/>
  <c r="U7" i="2"/>
  <c r="T7" i="2"/>
  <c r="D34" i="2"/>
  <c r="E34" i="2"/>
  <c r="J44" i="2" l="1"/>
  <c r="I44" i="2"/>
  <c r="M34" i="2"/>
  <c r="C34" i="2"/>
  <c r="S7" i="2"/>
  <c r="H44" i="2" s="1"/>
</calcChain>
</file>

<file path=xl/sharedStrings.xml><?xml version="1.0" encoding="utf-8"?>
<sst xmlns="http://schemas.openxmlformats.org/spreadsheetml/2006/main" count="123" uniqueCount="46">
  <si>
    <t>FL</t>
  </si>
  <si>
    <t>FR</t>
  </si>
  <si>
    <t>RL</t>
  </si>
  <si>
    <t>RR</t>
  </si>
  <si>
    <t>X</t>
  </si>
  <si>
    <t>Y</t>
  </si>
  <si>
    <t>Z</t>
  </si>
  <si>
    <t>Measure</t>
  </si>
  <si>
    <t>Z (height)</t>
  </si>
  <si>
    <t>COG_X</t>
  </si>
  <si>
    <t>COG_Y</t>
  </si>
  <si>
    <t>[°]</t>
  </si>
  <si>
    <t>[mm]</t>
  </si>
  <si>
    <t>WB_0</t>
  </si>
  <si>
    <t>Tr_F_0</t>
  </si>
  <si>
    <t>Tr_R_0</t>
  </si>
  <si>
    <t>COG_Z (wrt Chassis Z=0)</t>
  </si>
  <si>
    <t>Legend:</t>
  </si>
  <si>
    <t>Input</t>
  </si>
  <si>
    <t>Computed</t>
  </si>
  <si>
    <t>[kg]</t>
  </si>
  <si>
    <t>Outcome</t>
  </si>
  <si>
    <t>Wf_0</t>
  </si>
  <si>
    <t>Wr_0</t>
  </si>
  <si>
    <t>Front_bal_0</t>
  </si>
  <si>
    <t>Front_bal_at_angle</t>
  </si>
  <si>
    <t>rear_half_wb_0</t>
  </si>
  <si>
    <t>rear_half_wb_at_angle</t>
  </si>
  <si>
    <t>b''</t>
  </si>
  <si>
    <t>b</t>
  </si>
  <si>
    <t>Z_dist_Supports</t>
  </si>
  <si>
    <t>FLOOR</t>
  </si>
  <si>
    <t>Ceiling 1</t>
  </si>
  <si>
    <t>Ceiling 2</t>
  </si>
  <si>
    <t>Floor 1</t>
  </si>
  <si>
    <t>Floor 2</t>
  </si>
  <si>
    <t>Toward_Floor_bal_0</t>
  </si>
  <si>
    <t xml:space="preserve">Z </t>
  </si>
  <si>
    <t>Y_dist_Supports_Floor</t>
  </si>
  <si>
    <t>Y_dist_Supports_Roof</t>
  </si>
  <si>
    <t>ROOF</t>
  </si>
  <si>
    <t>WRoof_0</t>
  </si>
  <si>
    <t>Wfloor_0</t>
  </si>
  <si>
    <r>
      <t>Inclination_Angle_</t>
    </r>
    <r>
      <rPr>
        <b/>
        <sz val="11"/>
        <color rgb="FFFF0000"/>
        <rFont val="Calibri"/>
        <family val="2"/>
        <scheme val="minor"/>
      </rPr>
      <t>SV</t>
    </r>
  </si>
  <si>
    <t>COG_Z(wrt Chassis)</t>
  </si>
  <si>
    <t>Measure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</si>
</sst>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7" borderId="21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0" fillId="0" borderId="22" xfId="0" applyBorder="1"/>
    <xf numFmtId="0" fontId="0" fillId="2" borderId="21" xfId="0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3" borderId="23" xfId="0" applyNumberFormat="1" applyFill="1" applyBorder="1" applyAlignment="1">
      <alignment horizontal="center"/>
    </xf>
    <xf numFmtId="0" fontId="1" fillId="7" borderId="20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10" fontId="0" fillId="3" borderId="22" xfId="0" applyNumberForma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0" fontId="0" fillId="3" borderId="12" xfId="0" applyNumberFormat="1" applyFill="1" applyBorder="1" applyAlignment="1">
      <alignment horizontal="center"/>
    </xf>
    <xf numFmtId="10" fontId="0" fillId="3" borderId="14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829236</xdr:colOff>
      <xdr:row>13</xdr:row>
      <xdr:rowOff>5604</xdr:rowOff>
    </xdr:from>
    <xdr:to>
      <xdr:col>10</xdr:col>
      <xdr:colOff>22646</xdr:colOff>
      <xdr:row>37</xdr:row>
      <xdr:rowOff>104881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CFEB054C-5680-4B06-B2C5-410D7E51A71F}"/>
            </a:ext>
          </a:extLst>
        </xdr:cNvPr>
        <xdr:cNvGrpSpPr/>
      </xdr:nvGrpSpPr>
      <xdr:grpSpPr>
        <a:xfrm>
          <a:off x="5387629" y="2536533"/>
          <a:ext cx="2717660" cy="4752919"/>
          <a:chOff x="2644589" y="2538134"/>
          <a:chExt cx="2712057" cy="4738511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16808C63-C0CA-4289-81BC-AC9BA90422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44589" y="2566152"/>
            <a:ext cx="2680024" cy="4710493"/>
          </a:xfrm>
          <a:prstGeom prst="rect">
            <a:avLst/>
          </a:prstGeom>
        </xdr:spPr>
      </xdr:pic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D5118B9B-288A-452D-B659-9E6B4522DCA2}"/>
              </a:ext>
            </a:extLst>
          </xdr:cNvPr>
          <xdr:cNvGrpSpPr/>
        </xdr:nvGrpSpPr>
        <xdr:grpSpPr>
          <a:xfrm>
            <a:off x="3661522" y="2538134"/>
            <a:ext cx="1695124" cy="1820397"/>
            <a:chOff x="3305175" y="2280693"/>
            <a:chExt cx="1698651" cy="1815058"/>
          </a:xfrm>
        </xdr:grpSpPr>
        <xdr:cxnSp macro="">
          <xdr:nvCxnSpPr>
            <xdr:cNvPr id="12" name="Straight Arrow Connector 11">
              <a:extLst>
                <a:ext uri="{FF2B5EF4-FFF2-40B4-BE49-F238E27FC236}">
                  <a16:creationId xmlns:a16="http://schemas.microsoft.com/office/drawing/2014/main" id="{C3F5A9E9-F6E3-4555-9B89-2FFE40A1C021}"/>
                </a:ext>
              </a:extLst>
            </xdr:cNvPr>
            <xdr:cNvCxnSpPr/>
          </xdr:nvCxnSpPr>
          <xdr:spPr>
            <a:xfrm>
              <a:off x="3632227" y="2476500"/>
              <a:ext cx="1" cy="1504950"/>
            </a:xfrm>
            <a:prstGeom prst="straightConnector1">
              <a:avLst/>
            </a:prstGeom>
            <a:ln w="38100">
              <a:solidFill>
                <a:srgbClr val="00FF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Straight Arrow Connector 12">
              <a:extLst>
                <a:ext uri="{FF2B5EF4-FFF2-40B4-BE49-F238E27FC236}">
                  <a16:creationId xmlns:a16="http://schemas.microsoft.com/office/drawing/2014/main" id="{C084C4FE-6118-40D1-8D7F-065BFB339B4B}"/>
                </a:ext>
              </a:extLst>
            </xdr:cNvPr>
            <xdr:cNvCxnSpPr>
              <a:cxnSpLocks/>
            </xdr:cNvCxnSpPr>
          </xdr:nvCxnSpPr>
          <xdr:spPr>
            <a:xfrm flipV="1">
              <a:off x="3432202" y="2686050"/>
              <a:ext cx="1571624" cy="4763"/>
            </a:xfrm>
            <a:prstGeom prst="straightConnector1">
              <a:avLst/>
            </a:prstGeom>
            <a:ln w="38100">
              <a:solidFill>
                <a:srgbClr val="00FF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4A5F3E6-E9AA-45C0-A93B-D5E8A784EA0A}"/>
                </a:ext>
              </a:extLst>
            </xdr:cNvPr>
            <xdr:cNvSpPr txBox="1"/>
          </xdr:nvSpPr>
          <xdr:spPr>
            <a:xfrm>
              <a:off x="4598571" y="2280693"/>
              <a:ext cx="247650" cy="371476"/>
            </a:xfrm>
            <a:prstGeom prst="rect">
              <a:avLst/>
            </a:prstGeom>
            <a:ln w="38100">
              <a:noFill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2400" b="1">
                  <a:solidFill>
                    <a:srgbClr val="FFFF00"/>
                  </a:solidFill>
                </a:rPr>
                <a:t>Y</a:t>
              </a:r>
              <a:endParaRPr lang="it-IT" sz="1400" b="1">
                <a:solidFill>
                  <a:srgbClr val="FFFF00"/>
                </a:solidFill>
              </a:endParaRPr>
            </a:p>
          </xdr:txBody>
        </xdr:sp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5BE88956-163F-4F4C-9F96-89B009E72A7C}"/>
                </a:ext>
              </a:extLst>
            </xdr:cNvPr>
            <xdr:cNvSpPr txBox="1"/>
          </xdr:nvSpPr>
          <xdr:spPr>
            <a:xfrm>
              <a:off x="3305175" y="3724275"/>
              <a:ext cx="247650" cy="371476"/>
            </a:xfrm>
            <a:prstGeom prst="rect">
              <a:avLst/>
            </a:prstGeom>
            <a:ln w="38100">
              <a:noFill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2000" b="1">
                  <a:solidFill>
                    <a:srgbClr val="FFFF00"/>
                  </a:solidFill>
                </a:rPr>
                <a:t>X</a:t>
              </a:r>
              <a:endParaRPr lang="it-IT" sz="1200" b="1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17</xdr:col>
      <xdr:colOff>11208</xdr:colOff>
      <xdr:row>24</xdr:row>
      <xdr:rowOff>107313</xdr:rowOff>
    </xdr:from>
    <xdr:to>
      <xdr:col>24</xdr:col>
      <xdr:colOff>201706</xdr:colOff>
      <xdr:row>46</xdr:row>
      <xdr:rowOff>144719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DFD4A970-6932-4464-B0E8-864210D166F8}"/>
            </a:ext>
          </a:extLst>
        </xdr:cNvPr>
        <xdr:cNvGrpSpPr/>
      </xdr:nvGrpSpPr>
      <xdr:grpSpPr>
        <a:xfrm>
          <a:off x="13210137" y="4774563"/>
          <a:ext cx="5388426" cy="4310049"/>
          <a:chOff x="9693089" y="4802577"/>
          <a:chExt cx="5345205" cy="4284435"/>
        </a:xfrm>
      </xdr:grpSpPr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E05092C8-3BEB-4A7C-ABE9-038BC25B3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693089" y="4802577"/>
            <a:ext cx="5345205" cy="4284435"/>
          </a:xfrm>
          <a:prstGeom prst="rect">
            <a:avLst/>
          </a:prstGeom>
        </xdr:spPr>
      </xdr:pic>
      <xdr:cxnSp macro="">
        <xdr:nvCxnSpPr>
          <xdr:cNvPr id="37" name="Straight Arrow Connector 36">
            <a:extLst>
              <a:ext uri="{FF2B5EF4-FFF2-40B4-BE49-F238E27FC236}">
                <a16:creationId xmlns:a16="http://schemas.microsoft.com/office/drawing/2014/main" id="{26232435-A88A-46B3-A7BC-9940CA6357FA}"/>
              </a:ext>
            </a:extLst>
          </xdr:cNvPr>
          <xdr:cNvCxnSpPr/>
        </xdr:nvCxnSpPr>
        <xdr:spPr>
          <a:xfrm flipV="1">
            <a:off x="10768852" y="6633882"/>
            <a:ext cx="2633383" cy="1524002"/>
          </a:xfrm>
          <a:prstGeom prst="straightConnector1">
            <a:avLst/>
          </a:prstGeom>
          <a:ln w="38100">
            <a:solidFill>
              <a:srgbClr val="00FF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Arrow Connector 38">
            <a:extLst>
              <a:ext uri="{FF2B5EF4-FFF2-40B4-BE49-F238E27FC236}">
                <a16:creationId xmlns:a16="http://schemas.microsoft.com/office/drawing/2014/main" id="{6EBFFE2E-CD0C-4B50-9377-7F0F526B0099}"/>
              </a:ext>
            </a:extLst>
          </xdr:cNvPr>
          <xdr:cNvCxnSpPr/>
        </xdr:nvCxnSpPr>
        <xdr:spPr>
          <a:xfrm flipH="1" flipV="1">
            <a:off x="9894794" y="7832912"/>
            <a:ext cx="896472" cy="324971"/>
          </a:xfrm>
          <a:prstGeom prst="straightConnector1">
            <a:avLst/>
          </a:prstGeom>
          <a:ln w="38100">
            <a:solidFill>
              <a:srgbClr val="00FF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Straight Arrow Connector 41">
            <a:extLst>
              <a:ext uri="{FF2B5EF4-FFF2-40B4-BE49-F238E27FC236}">
                <a16:creationId xmlns:a16="http://schemas.microsoft.com/office/drawing/2014/main" id="{4E242B5E-AD65-42C3-90B4-9CDA29AB4E3E}"/>
              </a:ext>
            </a:extLst>
          </xdr:cNvPr>
          <xdr:cNvCxnSpPr/>
        </xdr:nvCxnSpPr>
        <xdr:spPr>
          <a:xfrm flipV="1">
            <a:off x="10780059" y="5658970"/>
            <a:ext cx="0" cy="2476501"/>
          </a:xfrm>
          <a:prstGeom prst="straightConnector1">
            <a:avLst/>
          </a:prstGeom>
          <a:ln w="38100">
            <a:solidFill>
              <a:srgbClr val="00FF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43853C58-9D5F-4593-BFF8-9D15542B9F62}"/>
              </a:ext>
            </a:extLst>
          </xdr:cNvPr>
          <xdr:cNvSpPr txBox="1"/>
        </xdr:nvSpPr>
        <xdr:spPr>
          <a:xfrm>
            <a:off x="9760324" y="7384676"/>
            <a:ext cx="291352" cy="3837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2000" b="1">
                <a:solidFill>
                  <a:srgbClr val="FFFF00"/>
                </a:solidFill>
              </a:rPr>
              <a:t>Y</a:t>
            </a:r>
            <a:endParaRPr lang="it-IT" sz="1200" b="1">
              <a:solidFill>
                <a:srgbClr val="FFFF00"/>
              </a:solidFill>
            </a:endParaRPr>
          </a:p>
        </xdr:txBody>
      </xdr: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FFDE4713-1195-4B43-BD52-67C9DF8CB1C8}"/>
              </a:ext>
            </a:extLst>
          </xdr:cNvPr>
          <xdr:cNvSpPr txBox="1"/>
        </xdr:nvSpPr>
        <xdr:spPr>
          <a:xfrm>
            <a:off x="10387853" y="5486136"/>
            <a:ext cx="280754" cy="542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2800" b="1">
                <a:solidFill>
                  <a:srgbClr val="FFFF00"/>
                </a:solidFill>
              </a:rPr>
              <a:t>z</a:t>
            </a:r>
          </a:p>
        </xdr:txBody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4485B0D4-32B0-4B63-97C4-7E5A0B833978}"/>
              </a:ext>
            </a:extLst>
          </xdr:cNvPr>
          <xdr:cNvSpPr txBox="1"/>
        </xdr:nvSpPr>
        <xdr:spPr>
          <a:xfrm>
            <a:off x="13245354" y="6589059"/>
            <a:ext cx="280754" cy="5426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2800" b="1">
                <a:solidFill>
                  <a:srgbClr val="FFFF00"/>
                </a:solidFill>
              </a:rPr>
              <a:t>x</a:t>
            </a:r>
          </a:p>
        </xdr:txBody>
      </xdr:sp>
    </xdr:grpSp>
    <xdr:clientData/>
  </xdr:twoCellAnchor>
  <xdr:twoCellAnchor>
    <xdr:from>
      <xdr:col>16</xdr:col>
      <xdr:colOff>589429</xdr:colOff>
      <xdr:row>3</xdr:row>
      <xdr:rowOff>190497</xdr:rowOff>
    </xdr:from>
    <xdr:to>
      <xdr:col>25</xdr:col>
      <xdr:colOff>276784</xdr:colOff>
      <xdr:row>27</xdr:row>
      <xdr:rowOff>11764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2003A5E2-97A2-46E1-8BA5-A012E00BF3B3}"/>
            </a:ext>
          </a:extLst>
        </xdr:cNvPr>
        <xdr:cNvGrpSpPr/>
      </xdr:nvGrpSpPr>
      <xdr:grpSpPr>
        <a:xfrm>
          <a:off x="13176036" y="761997"/>
          <a:ext cx="6109927" cy="4502124"/>
          <a:chOff x="13913224" y="14567"/>
          <a:chExt cx="6052296" cy="4438091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DC970F05-C04B-4B10-A999-ECCAF98EB1BA}"/>
              </a:ext>
            </a:extLst>
          </xdr:cNvPr>
          <xdr:cNvGrpSpPr/>
        </xdr:nvGrpSpPr>
        <xdr:grpSpPr>
          <a:xfrm>
            <a:off x="13913224" y="14567"/>
            <a:ext cx="6052296" cy="4438091"/>
            <a:chOff x="9688606" y="14567"/>
            <a:chExt cx="6052296" cy="4449297"/>
          </a:xfrm>
        </xdr:grpSpPr>
        <xdr:grpSp>
          <xdr:nvGrpSpPr>
            <xdr:cNvPr id="34" name="Group 33">
              <a:extLst>
                <a:ext uri="{FF2B5EF4-FFF2-40B4-BE49-F238E27FC236}">
                  <a16:creationId xmlns:a16="http://schemas.microsoft.com/office/drawing/2014/main" id="{A0FB6C51-F2B3-4ED2-AA7B-93C2CA5E5E5A}"/>
                </a:ext>
              </a:extLst>
            </xdr:cNvPr>
            <xdr:cNvGrpSpPr/>
          </xdr:nvGrpSpPr>
          <xdr:grpSpPr>
            <a:xfrm>
              <a:off x="9688606" y="14567"/>
              <a:ext cx="5324722" cy="3754149"/>
              <a:chOff x="9688606" y="14567"/>
              <a:chExt cx="5324722" cy="3754149"/>
            </a:xfrm>
          </xdr:grpSpPr>
          <xdr:pic>
            <xdr:nvPicPr>
              <xdr:cNvPr id="22" name="Picture 21">
                <a:extLst>
                  <a:ext uri="{FF2B5EF4-FFF2-40B4-BE49-F238E27FC236}">
                    <a16:creationId xmlns:a16="http://schemas.microsoft.com/office/drawing/2014/main" id="{D6E4FE43-DAC5-4BAE-BAA8-80B1A1F3C02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9688606" y="14567"/>
                <a:ext cx="5324722" cy="3754149"/>
              </a:xfrm>
              <a:prstGeom prst="rect">
                <a:avLst/>
              </a:prstGeom>
            </xdr:spPr>
          </xdr:pic>
          <xdr:cxnSp macro="">
            <xdr:nvCxnSpPr>
              <xdr:cNvPr id="26" name="Straight Connector 25">
                <a:extLst>
                  <a:ext uri="{FF2B5EF4-FFF2-40B4-BE49-F238E27FC236}">
                    <a16:creationId xmlns:a16="http://schemas.microsoft.com/office/drawing/2014/main" id="{53DFB261-D126-448F-B902-5DEDB8D8932B}"/>
                  </a:ext>
                </a:extLst>
              </xdr:cNvPr>
              <xdr:cNvCxnSpPr/>
            </xdr:nvCxnSpPr>
            <xdr:spPr>
              <a:xfrm>
                <a:off x="10567147" y="3025588"/>
                <a:ext cx="4247029" cy="0"/>
              </a:xfrm>
              <a:prstGeom prst="line">
                <a:avLst/>
              </a:prstGeom>
              <a:ln>
                <a:solidFill>
                  <a:srgbClr val="00B05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7" name="Straight Connector 26">
                <a:extLst>
                  <a:ext uri="{FF2B5EF4-FFF2-40B4-BE49-F238E27FC236}">
                    <a16:creationId xmlns:a16="http://schemas.microsoft.com/office/drawing/2014/main" id="{D8D0DBED-75A9-4A2C-B71D-BF1A1BF36A52}"/>
                  </a:ext>
                </a:extLst>
              </xdr:cNvPr>
              <xdr:cNvCxnSpPr/>
            </xdr:nvCxnSpPr>
            <xdr:spPr>
              <a:xfrm flipV="1">
                <a:off x="10533529" y="1479176"/>
                <a:ext cx="3798795" cy="1557618"/>
              </a:xfrm>
              <a:prstGeom prst="line">
                <a:avLst/>
              </a:prstGeom>
              <a:ln>
                <a:solidFill>
                  <a:srgbClr val="00B05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3" name="TextBox 32">
                <a:extLst>
                  <a:ext uri="{FF2B5EF4-FFF2-40B4-BE49-F238E27FC236}">
                    <a16:creationId xmlns:a16="http://schemas.microsoft.com/office/drawing/2014/main" id="{11EC2CE9-0A53-4969-BE7A-AAE4A9740438}"/>
                  </a:ext>
                </a:extLst>
              </xdr:cNvPr>
              <xdr:cNvSpPr txBox="1"/>
            </xdr:nvSpPr>
            <xdr:spPr>
              <a:xfrm>
                <a:off x="11721354" y="2554942"/>
                <a:ext cx="1344706" cy="58270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it-IT" sz="1200" b="1">
                    <a:solidFill>
                      <a:srgbClr val="FFFF00"/>
                    </a:solidFill>
                  </a:rPr>
                  <a:t>Inclination_Angle_SIDEVIEW</a:t>
                </a:r>
              </a:p>
            </xdr:txBody>
          </xdr:sp>
        </xdr:grpSp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2F01FCD4-8A1B-486D-B0D2-A94CB80C32B5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1329146" y="3385858"/>
              <a:ext cx="4411756" cy="1078006"/>
              <a:chOff x="9096375" y="381000"/>
              <a:chExt cx="4419600" cy="914400"/>
            </a:xfrm>
          </xdr:grpSpPr>
          <xdr:sp macro="" textlink="">
            <xdr:nvSpPr>
              <xdr:cNvPr id="2" name="TextBox 1">
                <a:extLst>
                  <a:ext uri="{FF2B5EF4-FFF2-40B4-BE49-F238E27FC236}">
                    <a16:creationId xmlns:a16="http://schemas.microsoft.com/office/drawing/2014/main" id="{39390323-3D06-4236-85EC-990D944FE156}"/>
                  </a:ext>
                </a:extLst>
              </xdr:cNvPr>
              <xdr:cNvSpPr txBox="1"/>
            </xdr:nvSpPr>
            <xdr:spPr>
              <a:xfrm>
                <a:off x="9096375" y="390525"/>
                <a:ext cx="4419600" cy="80010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it-IT" sz="1400"/>
                  <a:t>Let's assume to manage</a:t>
                </a:r>
                <a:r>
                  <a:rPr lang="it-IT" sz="1400" baseline="0"/>
                  <a:t> to keep lifted from ground scales on the same horizontal plane</a:t>
                </a:r>
                <a:r>
                  <a:rPr lang="it-IT" sz="1400"/>
                  <a:t>... </a:t>
                </a:r>
              </a:p>
            </xdr:txBody>
          </xdr:sp>
          <xdr:grpSp>
            <xdr:nvGrpSpPr>
              <xdr:cNvPr id="9" name="Group 8">
                <a:extLst>
                  <a:ext uri="{FF2B5EF4-FFF2-40B4-BE49-F238E27FC236}">
                    <a16:creationId xmlns:a16="http://schemas.microsoft.com/office/drawing/2014/main" id="{40D15B1E-3F5D-4A3E-AF66-31265FCA32A7}"/>
                  </a:ext>
                </a:extLst>
              </xdr:cNvPr>
              <xdr:cNvGrpSpPr/>
            </xdr:nvGrpSpPr>
            <xdr:grpSpPr>
              <a:xfrm>
                <a:off x="12201525" y="381000"/>
                <a:ext cx="1200150" cy="914400"/>
                <a:chOff x="12258675" y="381000"/>
                <a:chExt cx="1200150" cy="914400"/>
              </a:xfrm>
            </xdr:grpSpPr>
            <xdr:pic>
              <xdr:nvPicPr>
                <xdr:cNvPr id="4" name="Graphic 3" descr="Race Car outline">
                  <a:extLst>
                    <a:ext uri="{FF2B5EF4-FFF2-40B4-BE49-F238E27FC236}">
                      <a16:creationId xmlns:a16="http://schemas.microsoft.com/office/drawing/2014/main" id="{7D80F733-9CAA-47FE-9D8C-D994485BAD2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>
                  <a:extLst>
                    <a:ext uri="{28A0092B-C50C-407E-A947-70E740481C1C}">
                      <a14:useLocalDpi xmlns:a14="http://schemas.microsoft.com/office/drawing/2010/main" val="0"/>
                    </a:ext>
                    <a:ext uri="{96DAC541-7B7A-43D3-8B79-37D633B846F1}">
                      <asvg:svgBlip xmlns:asvg="http://schemas.microsoft.com/office/drawing/2016/SVG/main" r:embed="rId5"/>
                    </a:ext>
                  </a:extLst>
                </a:blip>
                <a:stretch>
                  <a:fillRect/>
                </a:stretch>
              </xdr:blipFill>
              <xdr:spPr>
                <a:xfrm rot="19421028">
                  <a:off x="12268200" y="381000"/>
                  <a:ext cx="914400" cy="91440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6" name="Rectangle 5">
                  <a:extLst>
                    <a:ext uri="{FF2B5EF4-FFF2-40B4-BE49-F238E27FC236}">
                      <a16:creationId xmlns:a16="http://schemas.microsoft.com/office/drawing/2014/main" id="{B5420890-CE10-4911-9929-49B1A60CA09B}"/>
                    </a:ext>
                  </a:extLst>
                </xdr:cNvPr>
                <xdr:cNvSpPr/>
              </xdr:nvSpPr>
              <xdr:spPr>
                <a:xfrm>
                  <a:off x="12258675" y="1114425"/>
                  <a:ext cx="1200150" cy="45719"/>
                </a:xfrm>
                <a:prstGeom prst="rect">
                  <a:avLst/>
                </a:prstGeom>
                <a:solidFill>
                  <a:schemeClr val="tx2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it-IT" sz="1100"/>
                </a:p>
              </xdr:txBody>
            </xdr:sp>
            <xdr:sp macro="" textlink="">
              <xdr:nvSpPr>
                <xdr:cNvPr id="7" name="Rectangle 6">
                  <a:extLst>
                    <a:ext uri="{FF2B5EF4-FFF2-40B4-BE49-F238E27FC236}">
                      <a16:creationId xmlns:a16="http://schemas.microsoft.com/office/drawing/2014/main" id="{8BE16CEB-E111-4361-98B3-8CF5FEEE205D}"/>
                    </a:ext>
                  </a:extLst>
                </xdr:cNvPr>
                <xdr:cNvSpPr/>
              </xdr:nvSpPr>
              <xdr:spPr>
                <a:xfrm>
                  <a:off x="12925425" y="847725"/>
                  <a:ext cx="76200" cy="257175"/>
                </a:xfrm>
                <a:prstGeom prst="rect">
                  <a:avLst/>
                </a:prstGeom>
                <a:solidFill>
                  <a:srgbClr val="C00000"/>
                </a:solidFill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it-IT" sz="1100"/>
                </a:p>
              </xdr:txBody>
            </xdr:sp>
          </xdr:grpSp>
        </xdr:grpSp>
      </xdr:grpSp>
      <xdr:sp macro="" textlink="">
        <xdr:nvSpPr>
          <xdr:cNvPr id="32" name="Arc 31">
            <a:extLst>
              <a:ext uri="{FF2B5EF4-FFF2-40B4-BE49-F238E27FC236}">
                <a16:creationId xmlns:a16="http://schemas.microsoft.com/office/drawing/2014/main" id="{0AEBC29D-91EA-43D8-9920-BF756D5CE6F7}"/>
              </a:ext>
            </a:extLst>
          </xdr:cNvPr>
          <xdr:cNvSpPr/>
        </xdr:nvSpPr>
        <xdr:spPr>
          <a:xfrm rot="2614199">
            <a:off x="15867530" y="2241178"/>
            <a:ext cx="914400" cy="914400"/>
          </a:xfrm>
          <a:prstGeom prst="arc">
            <a:avLst>
              <a:gd name="adj1" fmla="val 15416135"/>
              <a:gd name="adj2" fmla="val 0"/>
            </a:avLst>
          </a:prstGeom>
          <a:ln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  <xdr:twoCellAnchor editAs="oneCell">
    <xdr:from>
      <xdr:col>25</xdr:col>
      <xdr:colOff>340178</xdr:colOff>
      <xdr:row>3</xdr:row>
      <xdr:rowOff>176893</xdr:rowOff>
    </xdr:from>
    <xdr:to>
      <xdr:col>49</xdr:col>
      <xdr:colOff>292201</xdr:colOff>
      <xdr:row>40</xdr:row>
      <xdr:rowOff>81643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677FAF-2083-4007-9CED-21F1AF0D4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5571" y="748393"/>
          <a:ext cx="14647737" cy="71165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657225</xdr:colOff>
      <xdr:row>14</xdr:row>
      <xdr:rowOff>28575</xdr:rowOff>
    </xdr:from>
    <xdr:to>
      <xdr:col>9</xdr:col>
      <xdr:colOff>647701</xdr:colOff>
      <xdr:row>28</xdr:row>
      <xdr:rowOff>47625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CDCC926-B00E-42CE-8EA5-70F5A5D712B5}"/>
            </a:ext>
          </a:extLst>
        </xdr:cNvPr>
        <xdr:cNvGrpSpPr/>
      </xdr:nvGrpSpPr>
      <xdr:grpSpPr>
        <a:xfrm>
          <a:off x="4388784" y="2729193"/>
          <a:ext cx="2702299" cy="2719667"/>
          <a:chOff x="2305050" y="3409950"/>
          <a:chExt cx="2714626" cy="2714625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DD9CE26E-C2C6-459C-8F45-05E78478542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15401" t="11952" r="19081" b="10817"/>
          <a:stretch/>
        </xdr:blipFill>
        <xdr:spPr>
          <a:xfrm>
            <a:off x="2305050" y="3409950"/>
            <a:ext cx="2714626" cy="2714625"/>
          </a:xfrm>
          <a:prstGeom prst="rect">
            <a:avLst/>
          </a:prstGeom>
        </xdr:spPr>
      </xdr:pic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6708CDAD-3936-4D6D-8A91-C3562290EB56}"/>
              </a:ext>
            </a:extLst>
          </xdr:cNvPr>
          <xdr:cNvGrpSpPr/>
        </xdr:nvGrpSpPr>
        <xdr:grpSpPr>
          <a:xfrm>
            <a:off x="2466975" y="3886200"/>
            <a:ext cx="1438276" cy="1438276"/>
            <a:chOff x="3362325" y="2971800"/>
            <a:chExt cx="1438276" cy="1438276"/>
          </a:xfrm>
        </xdr:grpSpPr>
        <xdr:cxnSp macro="">
          <xdr:nvCxnSpPr>
            <xdr:cNvPr id="3" name="Straight Arrow Connector 2">
              <a:extLst>
                <a:ext uri="{FF2B5EF4-FFF2-40B4-BE49-F238E27FC236}">
                  <a16:creationId xmlns:a16="http://schemas.microsoft.com/office/drawing/2014/main" id="{504A34FA-1D10-49EC-9E8E-CAC60751CBF1}"/>
                </a:ext>
              </a:extLst>
            </xdr:cNvPr>
            <xdr:cNvCxnSpPr/>
          </xdr:nvCxnSpPr>
          <xdr:spPr>
            <a:xfrm flipH="1" flipV="1">
              <a:off x="4537105" y="3076575"/>
              <a:ext cx="6321" cy="1333501"/>
            </a:xfrm>
            <a:prstGeom prst="straightConnector1">
              <a:avLst/>
            </a:prstGeom>
            <a:ln w="28575">
              <a:solidFill>
                <a:srgbClr val="00FF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Straight Arrow Connector 5">
              <a:extLst>
                <a:ext uri="{FF2B5EF4-FFF2-40B4-BE49-F238E27FC236}">
                  <a16:creationId xmlns:a16="http://schemas.microsoft.com/office/drawing/2014/main" id="{5329A231-BDFD-4A3E-9FF2-B3C177F6BD7B}"/>
                </a:ext>
              </a:extLst>
            </xdr:cNvPr>
            <xdr:cNvCxnSpPr/>
          </xdr:nvCxnSpPr>
          <xdr:spPr>
            <a:xfrm flipH="1">
              <a:off x="3486150" y="4238629"/>
              <a:ext cx="1282676" cy="19046"/>
            </a:xfrm>
            <a:prstGeom prst="straightConnector1">
              <a:avLst/>
            </a:prstGeom>
            <a:ln w="28575">
              <a:solidFill>
                <a:srgbClr val="00FF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FE4E4E0C-4C93-4109-9366-40EDA18D6C61}"/>
                </a:ext>
              </a:extLst>
            </xdr:cNvPr>
            <xdr:cNvSpPr txBox="1"/>
          </xdr:nvSpPr>
          <xdr:spPr>
            <a:xfrm>
              <a:off x="4552951" y="2971800"/>
              <a:ext cx="247650" cy="3714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800" b="1">
                  <a:solidFill>
                    <a:srgbClr val="FFFF00"/>
                  </a:solidFill>
                </a:rPr>
                <a:t>Z</a:t>
              </a:r>
              <a:endParaRPr lang="it-IT" sz="1100" b="1">
                <a:solidFill>
                  <a:srgbClr val="FFFF00"/>
                </a:solidFill>
              </a:endParaRP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7AD58B9-8307-4F20-959F-39737BDC7850}"/>
                </a:ext>
              </a:extLst>
            </xdr:cNvPr>
            <xdr:cNvSpPr txBox="1"/>
          </xdr:nvSpPr>
          <xdr:spPr>
            <a:xfrm>
              <a:off x="3362325" y="3857625"/>
              <a:ext cx="247650" cy="37147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1800" b="1">
                  <a:solidFill>
                    <a:srgbClr val="FFFF00"/>
                  </a:solidFill>
                </a:rPr>
                <a:t>Y</a:t>
              </a:r>
              <a:endParaRPr lang="it-IT" sz="1100" b="1">
                <a:solidFill>
                  <a:srgbClr val="FFFF00"/>
                </a:solidFill>
              </a:endParaRPr>
            </a:p>
          </xdr:txBody>
        </xdr:sp>
      </xdr:grpSp>
    </xdr:grpSp>
    <xdr:clientData/>
  </xdr:twoCellAnchor>
  <xdr:twoCellAnchor>
    <xdr:from>
      <xdr:col>17</xdr:col>
      <xdr:colOff>13894</xdr:colOff>
      <xdr:row>4</xdr:row>
      <xdr:rowOff>28575</xdr:rowOff>
    </xdr:from>
    <xdr:to>
      <xdr:col>22</xdr:col>
      <xdr:colOff>92688</xdr:colOff>
      <xdr:row>32</xdr:row>
      <xdr:rowOff>70870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AA87CA3F-F2E8-4B07-8449-0F66D8EF15E4}"/>
            </a:ext>
          </a:extLst>
        </xdr:cNvPr>
        <xdr:cNvGrpSpPr/>
      </xdr:nvGrpSpPr>
      <xdr:grpSpPr>
        <a:xfrm>
          <a:off x="11488718" y="790575"/>
          <a:ext cx="3104382" cy="5477148"/>
          <a:chOff x="8729269" y="590550"/>
          <a:chExt cx="3126794" cy="5471545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8CFD5D10-0329-4BBA-ABB7-1573825508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8729269" y="590550"/>
            <a:ext cx="3126794" cy="5399660"/>
          </a:xfrm>
          <a:prstGeom prst="rect">
            <a:avLst/>
          </a:prstGeom>
        </xdr:spPr>
      </xdr:pic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B7E22B26-BF9F-4220-9496-848F613D0EFA}"/>
              </a:ext>
            </a:extLst>
          </xdr:cNvPr>
          <xdr:cNvGrpSpPr/>
        </xdr:nvGrpSpPr>
        <xdr:grpSpPr>
          <a:xfrm rot="5400000">
            <a:off x="10075224" y="4297744"/>
            <a:ext cx="2095085" cy="1433618"/>
            <a:chOff x="9914138" y="6724266"/>
            <a:chExt cx="2095085" cy="1433618"/>
          </a:xfrm>
        </xdr:grpSpPr>
        <xdr:cxnSp macro="">
          <xdr:nvCxnSpPr>
            <xdr:cNvPr id="21" name="Straight Arrow Connector 20">
              <a:extLst>
                <a:ext uri="{FF2B5EF4-FFF2-40B4-BE49-F238E27FC236}">
                  <a16:creationId xmlns:a16="http://schemas.microsoft.com/office/drawing/2014/main" id="{C9BD7BAF-DA70-4D27-8CC1-2091CAFBAD9F}"/>
                </a:ext>
              </a:extLst>
            </xdr:cNvPr>
            <xdr:cNvCxnSpPr/>
          </xdr:nvCxnSpPr>
          <xdr:spPr>
            <a:xfrm rot="16200000">
              <a:off x="11304928" y="7600657"/>
              <a:ext cx="21150" cy="1074251"/>
            </a:xfrm>
            <a:prstGeom prst="straightConnector1">
              <a:avLst/>
            </a:prstGeom>
            <a:ln w="38100">
              <a:solidFill>
                <a:srgbClr val="00FF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Straight Arrow Connector 21">
              <a:extLst>
                <a:ext uri="{FF2B5EF4-FFF2-40B4-BE49-F238E27FC236}">
                  <a16:creationId xmlns:a16="http://schemas.microsoft.com/office/drawing/2014/main" id="{70C6AA20-56DE-49EF-BF81-36644D95EFBF}"/>
                </a:ext>
              </a:extLst>
            </xdr:cNvPr>
            <xdr:cNvCxnSpPr/>
          </xdr:nvCxnSpPr>
          <xdr:spPr>
            <a:xfrm rot="16200000" flipV="1">
              <a:off x="10090790" y="7457405"/>
              <a:ext cx="833543" cy="567415"/>
            </a:xfrm>
            <a:prstGeom prst="straightConnector1">
              <a:avLst/>
            </a:prstGeom>
            <a:ln w="38100">
              <a:solidFill>
                <a:srgbClr val="00FF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CD625528-2BEE-4546-960B-BA4666E29A4B}"/>
                </a:ext>
              </a:extLst>
            </xdr:cNvPr>
            <xdr:cNvCxnSpPr/>
          </xdr:nvCxnSpPr>
          <xdr:spPr>
            <a:xfrm rot="16200000">
              <a:off x="10248794" y="7255536"/>
              <a:ext cx="1430256" cy="367716"/>
            </a:xfrm>
            <a:prstGeom prst="straightConnector1">
              <a:avLst/>
            </a:prstGeom>
            <a:ln w="38100">
              <a:solidFill>
                <a:srgbClr val="00FF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FA5F197-93A3-492B-8C26-3C9D213E3F99}"/>
                </a:ext>
              </a:extLst>
            </xdr:cNvPr>
            <xdr:cNvSpPr txBox="1"/>
          </xdr:nvSpPr>
          <xdr:spPr>
            <a:xfrm rot="16200000">
              <a:off x="9960350" y="7079876"/>
              <a:ext cx="291352" cy="3837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2000" b="1">
                  <a:solidFill>
                    <a:srgbClr val="FFFF00"/>
                  </a:solidFill>
                </a:rPr>
                <a:t>Y</a:t>
              </a:r>
              <a:endParaRPr lang="it-IT" sz="1200" b="1">
                <a:solidFill>
                  <a:srgbClr val="FFFF00"/>
                </a:solidFill>
              </a:endParaRPr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916E650-6B03-40BE-B315-2EF4192DBF2E}"/>
                </a:ext>
              </a:extLst>
            </xdr:cNvPr>
            <xdr:cNvSpPr txBox="1"/>
          </xdr:nvSpPr>
          <xdr:spPr>
            <a:xfrm rot="16200000">
              <a:off x="10778380" y="6600561"/>
              <a:ext cx="280754" cy="5426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2800" b="1">
                  <a:solidFill>
                    <a:srgbClr val="FFFF00"/>
                  </a:solidFill>
                </a:rPr>
                <a:t>z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7B71FC28-9A77-42F7-A56C-CEFBF9BC6B1C}"/>
                </a:ext>
              </a:extLst>
            </xdr:cNvPr>
            <xdr:cNvSpPr txBox="1"/>
          </xdr:nvSpPr>
          <xdr:spPr>
            <a:xfrm rot="16200000">
              <a:off x="11597532" y="7674909"/>
              <a:ext cx="280754" cy="5426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it-IT" sz="2800" b="1">
                  <a:solidFill>
                    <a:srgbClr val="FFFF00"/>
                  </a:solidFill>
                </a:rPr>
                <a:t>x</a:t>
              </a:r>
            </a:p>
          </xdr:txBody>
        </xdr:sp>
      </xdr:grpSp>
    </xdr:grpSp>
    <xdr:clientData/>
  </xdr:twoCellAnchor>
  <xdr:twoCellAnchor editAs="oneCell">
    <xdr:from>
      <xdr:col>22</xdr:col>
      <xdr:colOff>392204</xdr:colOff>
      <xdr:row>4</xdr:row>
      <xdr:rowOff>44823</xdr:rowOff>
    </xdr:from>
    <xdr:to>
      <xdr:col>39</xdr:col>
      <xdr:colOff>537881</xdr:colOff>
      <xdr:row>39</xdr:row>
      <xdr:rowOff>97438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302BB8-DCB6-461E-BBCD-34CC606E9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92616" y="806823"/>
          <a:ext cx="10432677" cy="6832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2EC0-5346-49A7-A06E-03519051AD2B}">
  <dimension ref="A1:W44"/>
  <sheetViews>
    <sheetView zoomScale="70" zoomScaleNormal="70" workbookViewId="0">
      <selection activeCell="M33" sqref="M33"/>
    </sheetView>
  </sheetViews>
  <sheetFormatPr defaultRowHeight="15" x14ac:dyDescent="0.25"/>
  <cols>
    <col min="1" max="1" width="3.7109375" style="3" customWidth="1"/>
    <col min="2" max="2" width="13.5703125" style="3" bestFit="1" customWidth="1"/>
    <col min="3" max="4" width="11.5703125" style="3" bestFit="1" customWidth="1"/>
    <col min="5" max="5" width="15" style="3" customWidth="1"/>
    <col min="6" max="6" width="12.7109375" style="3" customWidth="1"/>
    <col min="7" max="7" width="20.140625" style="3" bestFit="1" customWidth="1"/>
    <col min="8" max="8" width="12.28515625" style="3" bestFit="1" customWidth="1"/>
    <col min="9" max="9" width="9.5703125" style="3" bestFit="1" customWidth="1"/>
    <col min="10" max="10" width="10.7109375" style="3" customWidth="1"/>
    <col min="11" max="11" width="9.140625" style="3"/>
    <col min="12" max="12" width="13.5703125" style="3" bestFit="1" customWidth="1"/>
    <col min="13" max="13" width="9.140625" style="3"/>
    <col min="14" max="14" width="12.28515625" style="3" customWidth="1"/>
    <col min="15" max="15" width="9.140625" style="3"/>
    <col min="16" max="16" width="14" style="3" customWidth="1"/>
    <col min="17" max="17" width="9.140625" style="3"/>
    <col min="18" max="18" width="22.85546875" style="3" bestFit="1" customWidth="1"/>
    <col min="19" max="16384" width="9.140625" style="3"/>
  </cols>
  <sheetData>
    <row r="1" spans="1:23" x14ac:dyDescent="0.25">
      <c r="A1" s="56"/>
    </row>
    <row r="5" spans="1:23" ht="15.75" thickBot="1" x14ac:dyDescent="0.3">
      <c r="H5" s="60">
        <v>1</v>
      </c>
      <c r="I5" s="39">
        <v>2</v>
      </c>
      <c r="J5" s="39">
        <v>3</v>
      </c>
    </row>
    <row r="6" spans="1:23" ht="15.75" x14ac:dyDescent="0.25">
      <c r="C6" s="32" t="s">
        <v>17</v>
      </c>
      <c r="D6" s="33" t="s">
        <v>18</v>
      </c>
      <c r="E6" s="34"/>
      <c r="G6" s="4" t="s">
        <v>13</v>
      </c>
      <c r="H6" s="61">
        <f>1982.5-70</f>
        <v>1912.5</v>
      </c>
      <c r="I6" s="61">
        <f t="shared" ref="I6:J6" si="0">1982.5-70</f>
        <v>1912.5</v>
      </c>
      <c r="J6" s="61">
        <f t="shared" si="0"/>
        <v>1912.5</v>
      </c>
      <c r="K6" s="16" t="s">
        <v>12</v>
      </c>
      <c r="S6" s="67">
        <v>1</v>
      </c>
      <c r="T6" s="67">
        <v>2</v>
      </c>
      <c r="U6" s="67">
        <v>3</v>
      </c>
    </row>
    <row r="7" spans="1:23" ht="15.75" x14ac:dyDescent="0.25">
      <c r="C7" s="10"/>
      <c r="D7" s="35" t="s">
        <v>19</v>
      </c>
      <c r="E7" s="36"/>
      <c r="G7" s="5" t="s">
        <v>14</v>
      </c>
      <c r="H7" s="61">
        <f>290-(-290)</f>
        <v>580</v>
      </c>
      <c r="I7" s="61">
        <f t="shared" ref="I7:J7" si="1">290-(-290)</f>
        <v>580</v>
      </c>
      <c r="J7" s="61">
        <f t="shared" si="1"/>
        <v>580</v>
      </c>
      <c r="K7" s="17" t="s">
        <v>12</v>
      </c>
      <c r="R7" s="26" t="s">
        <v>26</v>
      </c>
      <c r="S7" s="68">
        <f>(H11)*H6</f>
        <v>933.10874999999999</v>
      </c>
      <c r="T7" s="68">
        <f t="shared" ref="T7:U7" si="2">(I11)*I6</f>
        <v>933.10874999999999</v>
      </c>
      <c r="U7" s="68">
        <f t="shared" si="2"/>
        <v>933.10874999999999</v>
      </c>
      <c r="V7" s="27" t="s">
        <v>12</v>
      </c>
      <c r="W7" s="28" t="s">
        <v>29</v>
      </c>
    </row>
    <row r="8" spans="1:23" ht="16.5" thickBot="1" x14ac:dyDescent="0.3">
      <c r="C8" s="11"/>
      <c r="D8" s="37" t="s">
        <v>21</v>
      </c>
      <c r="E8" s="38"/>
      <c r="G8" s="5" t="s">
        <v>15</v>
      </c>
      <c r="H8" s="61">
        <f>351.231-(-351.231)</f>
        <v>702.46199999999999</v>
      </c>
      <c r="I8" s="61">
        <f t="shared" ref="I8:J8" si="3">351.231-(-351.231)</f>
        <v>702.46199999999999</v>
      </c>
      <c r="J8" s="61">
        <f t="shared" si="3"/>
        <v>702.46199999999999</v>
      </c>
      <c r="K8" s="17" t="s">
        <v>12</v>
      </c>
      <c r="R8" s="29" t="s">
        <v>27</v>
      </c>
      <c r="S8" s="69">
        <f>H12*($H6*COS(H43*PI()/180))</f>
        <v>725.6875</v>
      </c>
      <c r="T8" s="69">
        <f t="shared" ref="T8:U8" si="4">I12*($H6*COS(I43*PI()/180))</f>
        <v>725.6875</v>
      </c>
      <c r="U8" s="69">
        <f t="shared" si="4"/>
        <v>725.6875</v>
      </c>
      <c r="V8" s="30" t="s">
        <v>12</v>
      </c>
      <c r="W8" s="31" t="s">
        <v>28</v>
      </c>
    </row>
    <row r="9" spans="1:23" x14ac:dyDescent="0.25">
      <c r="G9" s="5" t="s">
        <v>22</v>
      </c>
      <c r="H9" s="61">
        <v>43.911000000000001</v>
      </c>
      <c r="I9" s="40">
        <v>43.911000000000001</v>
      </c>
      <c r="J9" s="40">
        <v>43.911000000000001</v>
      </c>
      <c r="K9" s="17" t="s">
        <v>20</v>
      </c>
    </row>
    <row r="10" spans="1:23" x14ac:dyDescent="0.25">
      <c r="G10" s="5" t="s">
        <v>23</v>
      </c>
      <c r="H10" s="61">
        <v>46.088999999999999</v>
      </c>
      <c r="I10" s="40">
        <v>46.088999999999999</v>
      </c>
      <c r="J10" s="40">
        <v>46.088999999999999</v>
      </c>
      <c r="K10" s="17" t="s">
        <v>20</v>
      </c>
      <c r="N10" s="9"/>
      <c r="O10" s="9"/>
      <c r="P10" s="9"/>
      <c r="Q10" s="9"/>
    </row>
    <row r="11" spans="1:23" x14ac:dyDescent="0.25">
      <c r="G11" s="5" t="s">
        <v>24</v>
      </c>
      <c r="H11" s="62">
        <f>(H9)/(H9+H10)</f>
        <v>0.4879</v>
      </c>
      <c r="I11" s="59">
        <f>(I9)/(I9+I10)</f>
        <v>0.4879</v>
      </c>
      <c r="J11" s="59">
        <f>(J9)/(J9+J10)</f>
        <v>0.4879</v>
      </c>
      <c r="K11" s="6"/>
      <c r="M11" s="9"/>
      <c r="N11" s="9"/>
      <c r="O11" s="9"/>
      <c r="P11" s="9"/>
      <c r="Q11" s="9"/>
    </row>
    <row r="12" spans="1:23" x14ac:dyDescent="0.25">
      <c r="G12" s="7" t="s">
        <v>25</v>
      </c>
      <c r="H12" s="63">
        <f>(C21+M21)/(C21+M21+C34+M34)</f>
        <v>0.37944444444444442</v>
      </c>
      <c r="I12" s="54">
        <f>(D21+N21)/(D21+N21+D34+N34)</f>
        <v>0.37944444444444442</v>
      </c>
      <c r="J12" s="54">
        <f>(E21+O21)/(E21+O21+E34+O34)</f>
        <v>0.37944444444444442</v>
      </c>
      <c r="K12" s="8"/>
      <c r="M12" s="9"/>
      <c r="N12" s="9"/>
      <c r="O12" s="9"/>
      <c r="P12" s="9"/>
      <c r="Q12" s="9"/>
    </row>
    <row r="13" spans="1:23" x14ac:dyDescent="0.25">
      <c r="E13" s="9"/>
      <c r="F13" s="19"/>
      <c r="G13" s="18"/>
    </row>
    <row r="14" spans="1:23" ht="15.75" thickBot="1" x14ac:dyDescent="0.3">
      <c r="N14" s="45"/>
    </row>
    <row r="15" spans="1:23" ht="15.75" thickBot="1" x14ac:dyDescent="0.3">
      <c r="B15" s="70" t="s">
        <v>0</v>
      </c>
      <c r="C15" s="71"/>
      <c r="D15" s="71"/>
      <c r="E15" s="71"/>
      <c r="F15" s="72"/>
      <c r="L15" s="70" t="s">
        <v>1</v>
      </c>
      <c r="M15" s="71"/>
      <c r="N15" s="71"/>
      <c r="O15" s="71"/>
      <c r="P15" s="72"/>
    </row>
    <row r="16" spans="1:23" x14ac:dyDescent="0.25">
      <c r="B16" s="10" t="s">
        <v>45</v>
      </c>
      <c r="C16" s="46">
        <v>1</v>
      </c>
      <c r="D16" s="46">
        <v>2</v>
      </c>
      <c r="E16" s="46">
        <v>3</v>
      </c>
      <c r="F16" s="2"/>
      <c r="L16" s="10" t="s">
        <v>45</v>
      </c>
      <c r="M16" s="46">
        <v>1</v>
      </c>
      <c r="N16" s="46">
        <v>2</v>
      </c>
      <c r="O16" s="46">
        <v>3</v>
      </c>
      <c r="P16" s="2"/>
    </row>
    <row r="17" spans="2:16" x14ac:dyDescent="0.25">
      <c r="B17" s="10" t="s">
        <v>4</v>
      </c>
      <c r="C17" s="40">
        <v>70</v>
      </c>
      <c r="D17" s="40">
        <v>70</v>
      </c>
      <c r="E17" s="40">
        <v>70</v>
      </c>
      <c r="F17" s="13" t="s">
        <v>12</v>
      </c>
      <c r="L17" s="10" t="s">
        <v>4</v>
      </c>
      <c r="M17" s="40">
        <v>70</v>
      </c>
      <c r="N17" s="40">
        <v>70</v>
      </c>
      <c r="O17" s="40">
        <v>70</v>
      </c>
      <c r="P17" s="13" t="s">
        <v>12</v>
      </c>
    </row>
    <row r="18" spans="2:16" x14ac:dyDescent="0.25">
      <c r="B18" s="10" t="s">
        <v>5</v>
      </c>
      <c r="C18" s="40">
        <v>-290</v>
      </c>
      <c r="D18" s="40">
        <v>-290</v>
      </c>
      <c r="E18" s="40">
        <v>-290</v>
      </c>
      <c r="F18" s="13" t="s">
        <v>12</v>
      </c>
      <c r="L18" s="10" t="s">
        <v>5</v>
      </c>
      <c r="M18" s="40">
        <v>290</v>
      </c>
      <c r="N18" s="40">
        <v>290</v>
      </c>
      <c r="O18" s="40">
        <v>290</v>
      </c>
      <c r="P18" s="13" t="s">
        <v>12</v>
      </c>
    </row>
    <row r="19" spans="2:16" x14ac:dyDescent="0.25">
      <c r="B19" s="10" t="s">
        <v>8</v>
      </c>
      <c r="C19" s="40">
        <v>-13</v>
      </c>
      <c r="D19" s="40">
        <v>-13</v>
      </c>
      <c r="E19" s="40">
        <v>-13</v>
      </c>
      <c r="F19" s="13" t="s">
        <v>12</v>
      </c>
      <c r="L19" s="10" t="s">
        <v>8</v>
      </c>
      <c r="M19" s="42">
        <f>C19</f>
        <v>-13</v>
      </c>
      <c r="N19" s="42">
        <f>D19</f>
        <v>-13</v>
      </c>
      <c r="O19" s="42">
        <f>E19</f>
        <v>-13</v>
      </c>
      <c r="P19" s="13" t="s">
        <v>12</v>
      </c>
    </row>
    <row r="20" spans="2:16" x14ac:dyDescent="0.25">
      <c r="B20" s="10"/>
      <c r="C20" s="41"/>
      <c r="D20" s="41"/>
      <c r="E20" s="41"/>
      <c r="F20" s="13"/>
      <c r="L20" s="10"/>
      <c r="M20" s="41">
        <v>0</v>
      </c>
      <c r="N20" s="41"/>
      <c r="O20" s="41"/>
      <c r="P20" s="13"/>
    </row>
    <row r="21" spans="2:16" ht="15.75" thickBot="1" x14ac:dyDescent="0.3">
      <c r="B21" s="11" t="s">
        <v>7</v>
      </c>
      <c r="C21" s="47">
        <v>17.074999999999999</v>
      </c>
      <c r="D21" s="47">
        <v>17.074999999999999</v>
      </c>
      <c r="E21" s="47">
        <v>17.074999999999999</v>
      </c>
      <c r="F21" s="14" t="s">
        <v>20</v>
      </c>
      <c r="L21" s="11" t="s">
        <v>7</v>
      </c>
      <c r="M21" s="47">
        <v>17.074999999999999</v>
      </c>
      <c r="N21" s="47">
        <v>17.074999999999999</v>
      </c>
      <c r="O21" s="47">
        <v>17.074999999999999</v>
      </c>
      <c r="P21" s="14" t="s">
        <v>20</v>
      </c>
    </row>
    <row r="27" spans="2:16" ht="15.75" thickBot="1" x14ac:dyDescent="0.3"/>
    <row r="28" spans="2:16" ht="15.75" thickBot="1" x14ac:dyDescent="0.3">
      <c r="B28" s="70" t="s">
        <v>2</v>
      </c>
      <c r="C28" s="71"/>
      <c r="D28" s="71"/>
      <c r="E28" s="71"/>
      <c r="F28" s="72"/>
      <c r="L28" s="70" t="s">
        <v>3</v>
      </c>
      <c r="M28" s="71"/>
      <c r="N28" s="71"/>
      <c r="O28" s="71"/>
      <c r="P28" s="72"/>
    </row>
    <row r="29" spans="2:16" x14ac:dyDescent="0.25">
      <c r="B29" s="10" t="s">
        <v>45</v>
      </c>
      <c r="C29" s="46">
        <v>1</v>
      </c>
      <c r="D29" s="46">
        <v>2</v>
      </c>
      <c r="E29" s="46">
        <v>3</v>
      </c>
      <c r="F29" s="2"/>
      <c r="L29" s="10" t="s">
        <v>45</v>
      </c>
      <c r="M29" s="46">
        <v>1</v>
      </c>
      <c r="N29" s="46">
        <v>2</v>
      </c>
      <c r="O29" s="46">
        <v>3</v>
      </c>
      <c r="P29" s="2"/>
    </row>
    <row r="30" spans="2:16" x14ac:dyDescent="0.25">
      <c r="B30" s="10" t="s">
        <v>4</v>
      </c>
      <c r="C30" s="40">
        <v>1982.5</v>
      </c>
      <c r="D30" s="40">
        <v>1982.5</v>
      </c>
      <c r="E30" s="40">
        <v>1982.5</v>
      </c>
      <c r="F30" s="13" t="s">
        <v>12</v>
      </c>
      <c r="L30" s="10" t="s">
        <v>4</v>
      </c>
      <c r="M30" s="40">
        <v>1982.5</v>
      </c>
      <c r="N30" s="40">
        <v>1982.5</v>
      </c>
      <c r="O30" s="40">
        <v>1982.5</v>
      </c>
      <c r="P30" s="13" t="s">
        <v>12</v>
      </c>
    </row>
    <row r="31" spans="2:16" x14ac:dyDescent="0.25">
      <c r="B31" s="10" t="s">
        <v>5</v>
      </c>
      <c r="C31" s="40">
        <v>-351.23099999999999</v>
      </c>
      <c r="D31" s="40">
        <v>-351.23099999999999</v>
      </c>
      <c r="E31" s="40">
        <v>-351.23099999999999</v>
      </c>
      <c r="F31" s="13" t="s">
        <v>12</v>
      </c>
      <c r="L31" s="10" t="s">
        <v>5</v>
      </c>
      <c r="M31" s="40">
        <v>351.23099999999999</v>
      </c>
      <c r="N31" s="40">
        <v>351.23099999999999</v>
      </c>
      <c r="O31" s="40">
        <v>351.23099999999999</v>
      </c>
      <c r="P31" s="13" t="s">
        <v>12</v>
      </c>
    </row>
    <row r="32" spans="2:16" x14ac:dyDescent="0.25">
      <c r="B32" s="10" t="s">
        <v>8</v>
      </c>
      <c r="C32" s="40">
        <v>-13</v>
      </c>
      <c r="D32" s="40">
        <v>-13</v>
      </c>
      <c r="E32" s="40">
        <v>-13</v>
      </c>
      <c r="F32" s="13" t="s">
        <v>12</v>
      </c>
      <c r="L32" s="10" t="s">
        <v>8</v>
      </c>
      <c r="M32" s="42">
        <f>C32</f>
        <v>-13</v>
      </c>
      <c r="N32" s="42">
        <f>D32</f>
        <v>-13</v>
      </c>
      <c r="O32" s="42">
        <f>E32</f>
        <v>-13</v>
      </c>
      <c r="P32" s="13" t="s">
        <v>12</v>
      </c>
    </row>
    <row r="33" spans="2:16" x14ac:dyDescent="0.25">
      <c r="B33" s="10"/>
      <c r="C33" s="41"/>
      <c r="D33" s="41"/>
      <c r="E33" s="41"/>
      <c r="F33" s="13"/>
      <c r="L33" s="10"/>
      <c r="M33" s="41"/>
      <c r="N33" s="41"/>
      <c r="O33" s="41"/>
      <c r="P33" s="13"/>
    </row>
    <row r="34" spans="2:16" ht="15.75" thickBot="1" x14ac:dyDescent="0.3">
      <c r="B34" s="11" t="s">
        <v>7</v>
      </c>
      <c r="C34" s="47">
        <f>55.85/2</f>
        <v>27.925000000000001</v>
      </c>
      <c r="D34" s="47">
        <f t="shared" ref="D34:E34" si="5">55.85/2</f>
        <v>27.925000000000001</v>
      </c>
      <c r="E34" s="47">
        <f t="shared" si="5"/>
        <v>27.925000000000001</v>
      </c>
      <c r="F34" s="14" t="s">
        <v>20</v>
      </c>
      <c r="L34" s="11" t="s">
        <v>7</v>
      </c>
      <c r="M34" s="47">
        <f>55.85/2</f>
        <v>27.925000000000001</v>
      </c>
      <c r="N34" s="47">
        <f t="shared" ref="N34:O34" si="6">55.85/2</f>
        <v>27.925000000000001</v>
      </c>
      <c r="O34" s="47">
        <f t="shared" si="6"/>
        <v>27.925000000000001</v>
      </c>
      <c r="P34" s="14" t="s">
        <v>20</v>
      </c>
    </row>
    <row r="38" spans="2:16" x14ac:dyDescent="0.25">
      <c r="L38" s="56"/>
    </row>
    <row r="39" spans="2:16" ht="15.75" thickBot="1" x14ac:dyDescent="0.3">
      <c r="H39" s="65"/>
      <c r="J39" s="65"/>
    </row>
    <row r="40" spans="2:16" ht="15.75" thickBot="1" x14ac:dyDescent="0.3">
      <c r="G40" s="64"/>
      <c r="H40" s="58">
        <v>1</v>
      </c>
      <c r="I40" s="52">
        <v>2</v>
      </c>
      <c r="J40" s="57">
        <v>3</v>
      </c>
      <c r="K40" s="66"/>
    </row>
    <row r="41" spans="2:16" x14ac:dyDescent="0.25">
      <c r="G41" s="12" t="s">
        <v>9</v>
      </c>
      <c r="H41" s="43">
        <f>((C17*C21)+(M17*M21)+(C30*C34)+(M30*M34))/(C21+M21+C34+M34)</f>
        <v>1256.8125</v>
      </c>
      <c r="I41" s="43">
        <f>((D17*D21)+(N17*N21)+(D30*D34)+(N30*N34))/(D21+N21+D34+N34)</f>
        <v>1256.8125</v>
      </c>
      <c r="J41" s="43">
        <f>((E17*E21)+(O17*O21)+(E30*E34)+(O30*O34))/(E21+O21+E34+O34)</f>
        <v>1256.8125</v>
      </c>
      <c r="K41" s="15" t="s">
        <v>12</v>
      </c>
    </row>
    <row r="42" spans="2:16" x14ac:dyDescent="0.25">
      <c r="G42" s="10" t="s">
        <v>10</v>
      </c>
      <c r="H42" s="43">
        <f>((C18*C21)+(M18*M21)+(C31*C34)+(M31*M34))/(C21+M21+C34+M34)</f>
        <v>0</v>
      </c>
      <c r="I42" s="43">
        <f>((D18*D21)+(N18*N21)+(D31*D34)+(N31*N34))/(D21+N21+D34+N34)</f>
        <v>0</v>
      </c>
      <c r="J42" s="43">
        <f>((E18*E21)+(O18*O21)+(E31*E34)+(O31*O34))/(E21+O21+E34+O34)</f>
        <v>0</v>
      </c>
      <c r="K42" s="13" t="s">
        <v>12</v>
      </c>
    </row>
    <row r="43" spans="2:16" x14ac:dyDescent="0.25">
      <c r="G43" s="10" t="s">
        <v>43</v>
      </c>
      <c r="H43" s="44">
        <f>ATAN((ABS(C19-C32)/ABS(C17-C30)))*180/PI()</f>
        <v>0</v>
      </c>
      <c r="I43" s="44">
        <f>ATAN((ABS(D19-D32)/ABS(D17-D30)))*180/PI()</f>
        <v>0</v>
      </c>
      <c r="J43" s="44">
        <f>ATAN((ABS(E19-E32)/ABS(E17-E30)))*180/PI()</f>
        <v>0</v>
      </c>
      <c r="K43" s="13" t="s">
        <v>11</v>
      </c>
    </row>
    <row r="44" spans="2:16" ht="15.75" thickBot="1" x14ac:dyDescent="0.3">
      <c r="G44" s="11" t="s">
        <v>44</v>
      </c>
      <c r="H44" s="49" t="str">
        <f>IF(H43=0,"NO INCLINATION",(S7-(S8/COS(H43*PI()/180)))/TAN(H43*PI()/180))</f>
        <v>NO INCLINATION</v>
      </c>
      <c r="I44" s="49" t="str">
        <f>IF(I43=0,"NO INCLINATION",(T7-(T8/COS(I43*PI()/180)))/TAN(I43*PI()/180))</f>
        <v>NO INCLINATION</v>
      </c>
      <c r="J44" s="49" t="str">
        <f>IF(J43=0,"NO INCLINATION",(U7-(U8/COS(J43*PI()/180)))/TAN(J43*PI()/180))</f>
        <v>NO INCLINATION</v>
      </c>
      <c r="K44" s="14" t="s">
        <v>12</v>
      </c>
    </row>
  </sheetData>
  <mergeCells count="4">
    <mergeCell ref="B15:F15"/>
    <mergeCell ref="B28:F28"/>
    <mergeCell ref="L15:P15"/>
    <mergeCell ref="L28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EA1C-53D0-4AE4-A65F-67FADB68CCC3}">
  <dimension ref="B1:P34"/>
  <sheetViews>
    <sheetView tabSelected="1" zoomScale="85" zoomScaleNormal="85" workbookViewId="0">
      <selection activeCell="M29" sqref="M29"/>
    </sheetView>
  </sheetViews>
  <sheetFormatPr defaultRowHeight="15" x14ac:dyDescent="0.25"/>
  <cols>
    <col min="1" max="1" width="3.7109375" customWidth="1"/>
    <col min="2" max="2" width="10.7109375" bestFit="1" customWidth="1"/>
    <col min="4" max="5" width="10.28515625" customWidth="1"/>
    <col min="6" max="6" width="12" bestFit="1" customWidth="1"/>
    <col min="7" max="7" width="22.5703125" bestFit="1" customWidth="1"/>
    <col min="10" max="10" width="10.28515625" customWidth="1"/>
    <col min="12" max="12" width="10.7109375" bestFit="1" customWidth="1"/>
  </cols>
  <sheetData>
    <row r="1" spans="2:16" x14ac:dyDescent="0.25">
      <c r="B1" s="3"/>
      <c r="F1" s="3"/>
      <c r="G1" s="3"/>
      <c r="H1" s="3"/>
      <c r="I1" s="3"/>
      <c r="J1" s="3"/>
    </row>
    <row r="2" spans="2:16" x14ac:dyDescent="0.25">
      <c r="B2" s="3"/>
      <c r="C2" s="3"/>
      <c r="D2" s="3"/>
      <c r="E2" s="3"/>
      <c r="F2" s="3"/>
      <c r="G2" s="3"/>
      <c r="H2" s="55">
        <v>1</v>
      </c>
      <c r="I2" s="55">
        <v>2</v>
      </c>
      <c r="J2" s="55">
        <v>3</v>
      </c>
    </row>
    <row r="3" spans="2:16" x14ac:dyDescent="0.25">
      <c r="B3" s="3"/>
      <c r="C3" s="3"/>
      <c r="D3" s="3"/>
      <c r="G3" s="4" t="s">
        <v>30</v>
      </c>
      <c r="H3" s="51">
        <f>452.1-25</f>
        <v>427.1</v>
      </c>
      <c r="I3" s="51">
        <f t="shared" ref="I3:J3" si="0">452.1-25</f>
        <v>427.1</v>
      </c>
      <c r="J3" s="51">
        <f t="shared" si="0"/>
        <v>427.1</v>
      </c>
      <c r="K3" s="16" t="s">
        <v>12</v>
      </c>
    </row>
    <row r="4" spans="2:16" x14ac:dyDescent="0.25">
      <c r="B4" s="3"/>
      <c r="C4" s="4" t="s">
        <v>17</v>
      </c>
      <c r="D4" s="22" t="s">
        <v>18</v>
      </c>
      <c r="E4" s="23"/>
      <c r="G4" s="5" t="s">
        <v>39</v>
      </c>
      <c r="H4" s="40">
        <f>253.802-(-253.802)</f>
        <v>507.60399999999998</v>
      </c>
      <c r="I4" s="40">
        <f t="shared" ref="I4:J4" si="1">253.802-(-253.802)</f>
        <v>507.60399999999998</v>
      </c>
      <c r="J4" s="40">
        <f t="shared" si="1"/>
        <v>507.60399999999998</v>
      </c>
      <c r="K4" s="17" t="s">
        <v>12</v>
      </c>
    </row>
    <row r="5" spans="2:16" x14ac:dyDescent="0.25">
      <c r="B5" s="3"/>
      <c r="C5" s="5"/>
      <c r="D5" s="9" t="s">
        <v>19</v>
      </c>
      <c r="E5" s="24"/>
      <c r="G5" s="5" t="s">
        <v>38</v>
      </c>
      <c r="H5" s="40">
        <f>198.5-(-198.5)</f>
        <v>397</v>
      </c>
      <c r="I5" s="40">
        <f t="shared" ref="I5:J5" si="2">198.5-(-198.5)</f>
        <v>397</v>
      </c>
      <c r="J5" s="40">
        <f t="shared" si="2"/>
        <v>397</v>
      </c>
      <c r="K5" s="17" t="s">
        <v>12</v>
      </c>
    </row>
    <row r="6" spans="2:16" x14ac:dyDescent="0.25">
      <c r="B6" s="3"/>
      <c r="C6" s="7"/>
      <c r="D6" s="20" t="s">
        <v>21</v>
      </c>
      <c r="E6" s="25"/>
      <c r="G6" s="5" t="s">
        <v>41</v>
      </c>
      <c r="H6" s="40">
        <v>43.911000000000001</v>
      </c>
      <c r="I6" s="40">
        <v>43.911000000000001</v>
      </c>
      <c r="J6" s="40">
        <v>43.911000000000001</v>
      </c>
      <c r="K6" s="17" t="s">
        <v>20</v>
      </c>
    </row>
    <row r="7" spans="2:16" x14ac:dyDescent="0.25">
      <c r="B7" s="3"/>
      <c r="C7" s="3"/>
      <c r="D7" s="3"/>
      <c r="G7" s="5" t="s">
        <v>42</v>
      </c>
      <c r="H7" s="40">
        <v>46.088999999999999</v>
      </c>
      <c r="I7" s="40">
        <v>46.088999999999999</v>
      </c>
      <c r="J7" s="40">
        <v>46.088999999999999</v>
      </c>
      <c r="K7" s="17" t="s">
        <v>20</v>
      </c>
    </row>
    <row r="8" spans="2:16" x14ac:dyDescent="0.25">
      <c r="B8" s="3"/>
      <c r="C8" s="3"/>
      <c r="D8" s="3"/>
      <c r="G8" s="7" t="s">
        <v>36</v>
      </c>
      <c r="H8" s="54">
        <f>(H7)/(H6+H7)</f>
        <v>0.5121</v>
      </c>
      <c r="I8" s="54">
        <f>(I7)/(I6+I7)</f>
        <v>0.5121</v>
      </c>
      <c r="J8" s="54">
        <f>(J7)/(J6+J7)</f>
        <v>0.5121</v>
      </c>
      <c r="K8" s="8"/>
    </row>
    <row r="9" spans="2:16" x14ac:dyDescent="0.25">
      <c r="B9" s="3"/>
      <c r="C9" s="3"/>
      <c r="D9" s="3"/>
      <c r="E9" s="9"/>
      <c r="F9" s="19"/>
      <c r="G9" s="18"/>
      <c r="H9" s="3"/>
      <c r="I9" s="3"/>
      <c r="J9" s="3"/>
    </row>
    <row r="10" spans="2:16" x14ac:dyDescent="0.25">
      <c r="B10" s="3"/>
      <c r="C10" s="3"/>
      <c r="D10" s="3"/>
      <c r="E10" s="3"/>
      <c r="F10" s="21"/>
      <c r="G10" s="3"/>
      <c r="H10" s="3"/>
      <c r="I10" s="3"/>
      <c r="J10" s="3"/>
    </row>
    <row r="12" spans="2:16" ht="15.75" thickBot="1" x14ac:dyDescent="0.3"/>
    <row r="13" spans="2:16" ht="16.5" thickBot="1" x14ac:dyDescent="0.3">
      <c r="B13" s="70" t="s">
        <v>32</v>
      </c>
      <c r="C13" s="71"/>
      <c r="D13" s="71"/>
      <c r="E13" s="71"/>
      <c r="F13" s="72"/>
      <c r="G13" s="73" t="s">
        <v>40</v>
      </c>
      <c r="H13" s="74"/>
      <c r="I13" s="74"/>
      <c r="J13" s="74"/>
      <c r="K13" s="75"/>
      <c r="L13" s="70" t="s">
        <v>33</v>
      </c>
      <c r="M13" s="71"/>
      <c r="N13" s="71"/>
      <c r="O13" s="71"/>
      <c r="P13" s="72"/>
    </row>
    <row r="14" spans="2:16" x14ac:dyDescent="0.25">
      <c r="B14" s="12" t="s">
        <v>45</v>
      </c>
      <c r="C14" s="52">
        <v>1</v>
      </c>
      <c r="D14" s="52">
        <v>2</v>
      </c>
      <c r="E14" s="52">
        <v>3</v>
      </c>
      <c r="F14" s="53"/>
      <c r="G14" s="3"/>
      <c r="H14" s="3"/>
      <c r="I14" s="3"/>
      <c r="L14" s="12" t="s">
        <v>45</v>
      </c>
      <c r="M14" s="52">
        <v>1</v>
      </c>
      <c r="N14" s="52">
        <v>2</v>
      </c>
      <c r="O14" s="52">
        <v>3</v>
      </c>
      <c r="P14" s="53"/>
    </row>
    <row r="15" spans="2:16" x14ac:dyDescent="0.25">
      <c r="B15" s="10" t="s">
        <v>5</v>
      </c>
      <c r="C15" s="40">
        <v>-253.80199999999999</v>
      </c>
      <c r="D15" s="40">
        <v>-253.80199999999999</v>
      </c>
      <c r="E15" s="40">
        <v>-253.80199999999999</v>
      </c>
      <c r="F15" s="13" t="s">
        <v>12</v>
      </c>
      <c r="G15" s="3"/>
      <c r="H15" s="3"/>
      <c r="I15" s="3"/>
      <c r="L15" s="10" t="s">
        <v>5</v>
      </c>
      <c r="M15" s="40">
        <v>253.80199999999999</v>
      </c>
      <c r="N15" s="40">
        <v>253.80199999999999</v>
      </c>
      <c r="O15" s="40">
        <v>253.80199999999999</v>
      </c>
      <c r="P15" s="13" t="s">
        <v>12</v>
      </c>
    </row>
    <row r="16" spans="2:16" x14ac:dyDescent="0.25">
      <c r="B16" s="10" t="s">
        <v>6</v>
      </c>
      <c r="C16" s="40">
        <v>452.1</v>
      </c>
      <c r="D16" s="40">
        <v>452.1</v>
      </c>
      <c r="E16" s="40">
        <v>452.1</v>
      </c>
      <c r="F16" s="13" t="s">
        <v>12</v>
      </c>
      <c r="G16" s="3"/>
      <c r="H16" s="3"/>
      <c r="I16" s="3"/>
      <c r="L16" s="10" t="s">
        <v>6</v>
      </c>
      <c r="M16" s="40">
        <v>452.1</v>
      </c>
      <c r="N16" s="40">
        <v>452.1</v>
      </c>
      <c r="O16" s="40">
        <v>452.1</v>
      </c>
      <c r="P16" s="13" t="s">
        <v>12</v>
      </c>
    </row>
    <row r="17" spans="2:16" x14ac:dyDescent="0.25">
      <c r="B17" s="10"/>
      <c r="C17" s="41"/>
      <c r="D17" s="50"/>
      <c r="E17" s="50"/>
      <c r="F17" s="13"/>
      <c r="G17" s="3"/>
      <c r="H17" s="3"/>
      <c r="I17" s="3"/>
      <c r="L17" s="10"/>
      <c r="M17" s="41"/>
      <c r="N17" s="50"/>
      <c r="O17" s="50"/>
      <c r="P17" s="13"/>
    </row>
    <row r="18" spans="2:16" ht="15.75" thickBot="1" x14ac:dyDescent="0.3">
      <c r="B18" s="11" t="s">
        <v>7</v>
      </c>
      <c r="C18" s="47">
        <v>12</v>
      </c>
      <c r="D18" s="47">
        <v>12</v>
      </c>
      <c r="E18" s="47">
        <v>12</v>
      </c>
      <c r="F18" s="14" t="s">
        <v>20</v>
      </c>
      <c r="G18" s="3"/>
      <c r="H18" s="3"/>
      <c r="I18" s="3"/>
      <c r="L18" s="11" t="s">
        <v>7</v>
      </c>
      <c r="M18" s="47">
        <v>12</v>
      </c>
      <c r="N18" s="47">
        <v>12</v>
      </c>
      <c r="O18" s="47">
        <v>12</v>
      </c>
      <c r="P18" s="14" t="s">
        <v>20</v>
      </c>
    </row>
    <row r="19" spans="2:16" x14ac:dyDescent="0.25">
      <c r="B19" s="3"/>
      <c r="C19" s="3"/>
      <c r="F19" s="3"/>
      <c r="G19" s="3"/>
      <c r="H19" s="3"/>
      <c r="I19" s="3"/>
      <c r="L19" s="3"/>
      <c r="M19" s="3"/>
      <c r="P19" s="3"/>
    </row>
    <row r="20" spans="2:16" x14ac:dyDescent="0.25">
      <c r="B20" s="3"/>
      <c r="C20" s="3"/>
      <c r="F20" s="3"/>
      <c r="G20" s="1"/>
      <c r="H20" s="1"/>
      <c r="I20" s="1"/>
      <c r="L20" s="3"/>
      <c r="M20" s="3"/>
      <c r="P20" s="3"/>
    </row>
    <row r="21" spans="2:16" x14ac:dyDescent="0.25">
      <c r="B21" s="3"/>
      <c r="C21" s="3"/>
      <c r="F21" s="3"/>
      <c r="L21" s="9"/>
      <c r="M21" s="3"/>
      <c r="P21" s="3"/>
    </row>
    <row r="22" spans="2:16" x14ac:dyDescent="0.25">
      <c r="B22" s="3"/>
      <c r="C22" s="3"/>
      <c r="F22" s="3"/>
      <c r="L22" s="3"/>
      <c r="M22" s="3"/>
      <c r="P22" s="3"/>
    </row>
    <row r="23" spans="2:16" x14ac:dyDescent="0.25">
      <c r="B23" s="3"/>
      <c r="C23" s="3"/>
      <c r="F23" s="3"/>
      <c r="G23" s="9"/>
      <c r="H23" s="9"/>
      <c r="I23" s="9"/>
      <c r="L23" s="3"/>
      <c r="M23" s="3"/>
      <c r="P23" s="3"/>
    </row>
    <row r="24" spans="2:16" ht="15.75" thickBot="1" x14ac:dyDescent="0.3">
      <c r="B24" s="3"/>
      <c r="C24" s="3"/>
      <c r="F24" s="3"/>
      <c r="G24" s="3"/>
      <c r="H24" s="3"/>
      <c r="I24" s="3"/>
      <c r="L24" s="3"/>
      <c r="M24" s="3"/>
      <c r="P24" s="3"/>
    </row>
    <row r="25" spans="2:16" ht="15.75" thickBot="1" x14ac:dyDescent="0.3">
      <c r="B25" s="70" t="s">
        <v>34</v>
      </c>
      <c r="C25" s="71"/>
      <c r="D25" s="71"/>
      <c r="E25" s="71"/>
      <c r="F25" s="72"/>
      <c r="G25" s="3"/>
      <c r="H25" s="3"/>
      <c r="I25" s="3"/>
      <c r="L25" s="70" t="s">
        <v>35</v>
      </c>
      <c r="M25" s="71"/>
      <c r="N25" s="71"/>
      <c r="O25" s="71"/>
      <c r="P25" s="72"/>
    </row>
    <row r="26" spans="2:16" x14ac:dyDescent="0.25">
      <c r="B26" s="12" t="s">
        <v>45</v>
      </c>
      <c r="C26" s="52">
        <v>1</v>
      </c>
      <c r="D26" s="52">
        <v>2</v>
      </c>
      <c r="E26" s="52">
        <v>3</v>
      </c>
      <c r="F26" s="53"/>
      <c r="G26" s="3"/>
      <c r="H26" s="3"/>
      <c r="I26" s="3"/>
      <c r="L26" s="12" t="s">
        <v>45</v>
      </c>
      <c r="M26" s="52">
        <v>1</v>
      </c>
      <c r="N26" s="52">
        <v>2</v>
      </c>
      <c r="O26" s="52">
        <v>3</v>
      </c>
      <c r="P26" s="53"/>
    </row>
    <row r="27" spans="2:16" x14ac:dyDescent="0.25">
      <c r="B27" s="10" t="s">
        <v>5</v>
      </c>
      <c r="C27" s="40">
        <v>-198.5</v>
      </c>
      <c r="D27" s="40">
        <v>-198.5</v>
      </c>
      <c r="E27" s="40">
        <v>-198.5</v>
      </c>
      <c r="F27" s="13" t="s">
        <v>12</v>
      </c>
      <c r="G27" s="3"/>
      <c r="H27" s="3"/>
      <c r="I27" s="3"/>
      <c r="L27" s="10" t="s">
        <v>5</v>
      </c>
      <c r="M27" s="51">
        <v>198.5</v>
      </c>
      <c r="N27" s="40">
        <v>198.5</v>
      </c>
      <c r="O27" s="40">
        <v>198.5</v>
      </c>
      <c r="P27" s="13" t="s">
        <v>12</v>
      </c>
    </row>
    <row r="28" spans="2:16" x14ac:dyDescent="0.25">
      <c r="B28" s="10" t="s">
        <v>37</v>
      </c>
      <c r="C28" s="40">
        <v>25</v>
      </c>
      <c r="D28" s="40">
        <v>25</v>
      </c>
      <c r="E28" s="40">
        <v>25</v>
      </c>
      <c r="F28" s="13" t="s">
        <v>12</v>
      </c>
      <c r="G28" s="3"/>
      <c r="H28" s="3"/>
      <c r="I28" s="3"/>
      <c r="L28" s="10" t="s">
        <v>37</v>
      </c>
      <c r="M28" s="40">
        <v>25</v>
      </c>
      <c r="N28" s="40">
        <v>25</v>
      </c>
      <c r="O28" s="40">
        <v>25</v>
      </c>
      <c r="P28" s="13" t="s">
        <v>12</v>
      </c>
    </row>
    <row r="29" spans="2:16" x14ac:dyDescent="0.25">
      <c r="B29" s="10"/>
      <c r="C29" s="41"/>
      <c r="D29" s="50"/>
      <c r="E29" s="50"/>
      <c r="F29" s="13"/>
      <c r="L29" s="10"/>
      <c r="M29" s="41"/>
      <c r="N29" s="50"/>
      <c r="O29" s="50"/>
      <c r="P29" s="13"/>
    </row>
    <row r="30" spans="2:16" ht="16.5" thickBot="1" x14ac:dyDescent="0.3">
      <c r="B30" s="11" t="s">
        <v>7</v>
      </c>
      <c r="C30" s="47">
        <v>37</v>
      </c>
      <c r="D30" s="47">
        <v>37</v>
      </c>
      <c r="E30" s="47">
        <v>37</v>
      </c>
      <c r="F30" s="14" t="s">
        <v>20</v>
      </c>
      <c r="G30" s="73" t="s">
        <v>31</v>
      </c>
      <c r="H30" s="74"/>
      <c r="I30" s="74"/>
      <c r="J30" s="74"/>
      <c r="K30" s="75"/>
      <c r="L30" s="11" t="s">
        <v>7</v>
      </c>
      <c r="M30" s="47">
        <v>37</v>
      </c>
      <c r="N30" s="47">
        <v>37</v>
      </c>
      <c r="O30" s="47">
        <v>37</v>
      </c>
      <c r="P30" s="14" t="s">
        <v>20</v>
      </c>
    </row>
    <row r="32" spans="2:16" ht="15.75" thickBot="1" x14ac:dyDescent="0.3">
      <c r="H32" s="39">
        <v>1</v>
      </c>
      <c r="I32" s="39">
        <v>2</v>
      </c>
      <c r="J32" s="39">
        <v>3</v>
      </c>
    </row>
    <row r="33" spans="7:11" x14ac:dyDescent="0.25">
      <c r="G33" s="12" t="s">
        <v>10</v>
      </c>
      <c r="H33" s="48">
        <f>((C15*C18)+(M15*M18)+(C27*C30)+(M27*M30))/(C18+M18+C30+M30)</f>
        <v>0</v>
      </c>
      <c r="I33" s="48">
        <f>((D15*D18)+(N15*N18)+(D27*D30)+(N27*N30))/(D18+N18+D30+N30)</f>
        <v>0</v>
      </c>
      <c r="J33" s="48">
        <f>((E15*E18)+(O15*O18)+(E27*E30)+(O27*O30))/(E18+O18+E30+O30)</f>
        <v>0</v>
      </c>
      <c r="K33" s="15" t="s">
        <v>12</v>
      </c>
    </row>
    <row r="34" spans="7:11" ht="15.75" thickBot="1" x14ac:dyDescent="0.3">
      <c r="G34" s="11" t="s">
        <v>16</v>
      </c>
      <c r="H34" s="49">
        <f>((C16*C18)+(M16*M18)+(C28*C30)+(M28*M30))/(C18+M18+C30+M30)</f>
        <v>129.59591836734694</v>
      </c>
      <c r="I34" s="49">
        <f>((D16*D18)+(N16*N18)+(D28*D30)+(N28*N30))/(D18+N18+D30+N30)</f>
        <v>129.59591836734694</v>
      </c>
      <c r="J34" s="49">
        <f>((E16*E18)+(O16*O18)+(E28*E30)+(O28*O30))/(E18+O18+E30+O30)</f>
        <v>129.59591836734694</v>
      </c>
      <c r="K34" s="14" t="s">
        <v>12</v>
      </c>
    </row>
  </sheetData>
  <mergeCells count="6">
    <mergeCell ref="L13:P13"/>
    <mergeCell ref="G13:K13"/>
    <mergeCell ref="B13:F13"/>
    <mergeCell ref="L25:P25"/>
    <mergeCell ref="G30:K30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Long_Inclination</vt:lpstr>
      <vt:lpstr>Vertical_Chassis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2020-12-17T17:32:12Z</dcterms:modified>
</cp:coreProperties>
</file>