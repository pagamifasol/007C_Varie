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67F3B713-0E27-4789-ADD9-A92459538D28}" xr6:coauthVersionLast="45" xr6:coauthVersionMax="45" xr10:uidLastSave="{00000000-0000-0000-0000-000000000000}"/>
  <bookViews>
    <workbookView xWindow="3765" yWindow="3765" windowWidth="21600" windowHeight="11385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G38" i="1"/>
  <c r="H37" i="1"/>
  <c r="L37" i="1" s="1"/>
  <c r="G37" i="1"/>
  <c r="K37" i="1" s="1"/>
  <c r="G36" i="1"/>
  <c r="K36" i="1" s="1"/>
  <c r="F36" i="1"/>
  <c r="J36" i="1" s="1"/>
  <c r="G35" i="1"/>
  <c r="K35" i="1" s="1"/>
  <c r="K34" i="1"/>
  <c r="G34" i="1"/>
  <c r="H33" i="1"/>
  <c r="L33" i="1" s="1"/>
  <c r="G33" i="1"/>
  <c r="K33" i="1" s="1"/>
  <c r="G32" i="1"/>
  <c r="K32" i="1" s="1"/>
  <c r="F32" i="1"/>
  <c r="J32" i="1" s="1"/>
  <c r="G30" i="1"/>
  <c r="K30" i="1" s="1"/>
  <c r="K29" i="1"/>
  <c r="G29" i="1"/>
  <c r="H27" i="1"/>
  <c r="L27" i="1" s="1"/>
  <c r="G27" i="1"/>
  <c r="K27" i="1" s="1"/>
  <c r="G26" i="1"/>
  <c r="K26" i="1" s="1"/>
  <c r="F26" i="1"/>
  <c r="J26" i="1" s="1"/>
  <c r="G24" i="1"/>
  <c r="K24" i="1" s="1"/>
  <c r="K23" i="1"/>
  <c r="G23" i="1"/>
  <c r="H21" i="1"/>
  <c r="L21" i="1" s="1"/>
  <c r="G21" i="1"/>
  <c r="K21" i="1" s="1"/>
  <c r="G20" i="1"/>
  <c r="K20" i="1" s="1"/>
  <c r="F20" i="1"/>
  <c r="J20" i="1" s="1"/>
  <c r="G18" i="1"/>
  <c r="K18" i="1" s="1"/>
  <c r="K17" i="1"/>
  <c r="G17" i="1"/>
  <c r="H15" i="1"/>
  <c r="L15" i="1" s="1"/>
  <c r="G15" i="1"/>
  <c r="K15" i="1" s="1"/>
  <c r="G14" i="1"/>
  <c r="K14" i="1" s="1"/>
  <c r="F14" i="1"/>
  <c r="J14" i="1" s="1"/>
  <c r="G13" i="1"/>
  <c r="K13" i="1" s="1"/>
  <c r="K11" i="1"/>
  <c r="G11" i="1"/>
  <c r="H10" i="1"/>
  <c r="L10" i="1" s="1"/>
  <c r="G10" i="1"/>
  <c r="K10" i="1" s="1"/>
  <c r="G9" i="1"/>
  <c r="K9" i="1" s="1"/>
  <c r="F9" i="1"/>
  <c r="J9" i="1" s="1"/>
  <c r="G7" i="1"/>
  <c r="K7" i="1" s="1"/>
  <c r="K6" i="1"/>
  <c r="G6" i="1"/>
  <c r="H5" i="1"/>
  <c r="L5" i="1" s="1"/>
  <c r="G5" i="1"/>
  <c r="K5" i="1" s="1"/>
  <c r="G3" i="1"/>
  <c r="H38" i="1" s="1"/>
  <c r="L38" i="1" s="1"/>
  <c r="F7" i="1" l="1"/>
  <c r="J7" i="1" s="1"/>
  <c r="H9" i="1"/>
  <c r="L9" i="1" s="1"/>
  <c r="F13" i="1"/>
  <c r="J13" i="1" s="1"/>
  <c r="H14" i="1"/>
  <c r="L14" i="1" s="1"/>
  <c r="F18" i="1"/>
  <c r="J18" i="1" s="1"/>
  <c r="H20" i="1"/>
  <c r="L20" i="1" s="1"/>
  <c r="F24" i="1"/>
  <c r="J24" i="1" s="1"/>
  <c r="H26" i="1"/>
  <c r="L26" i="1" s="1"/>
  <c r="F30" i="1"/>
  <c r="J30" i="1" s="1"/>
  <c r="H32" i="1"/>
  <c r="L32" i="1" s="1"/>
  <c r="F35" i="1"/>
  <c r="J35" i="1" s="1"/>
  <c r="H36" i="1"/>
  <c r="L36" i="1" s="1"/>
  <c r="F6" i="1"/>
  <c r="J6" i="1" s="1"/>
  <c r="H7" i="1"/>
  <c r="L7" i="1" s="1"/>
  <c r="F11" i="1"/>
  <c r="J11" i="1" s="1"/>
  <c r="H13" i="1"/>
  <c r="L13" i="1" s="1"/>
  <c r="F17" i="1"/>
  <c r="J17" i="1" s="1"/>
  <c r="H18" i="1"/>
  <c r="L18" i="1" s="1"/>
  <c r="F23" i="1"/>
  <c r="J23" i="1" s="1"/>
  <c r="H24" i="1"/>
  <c r="L24" i="1" s="1"/>
  <c r="F29" i="1"/>
  <c r="J29" i="1" s="1"/>
  <c r="H30" i="1"/>
  <c r="L30" i="1" s="1"/>
  <c r="F34" i="1"/>
  <c r="J34" i="1" s="1"/>
  <c r="H35" i="1"/>
  <c r="L35" i="1" s="1"/>
  <c r="F38" i="1"/>
  <c r="J38" i="1" s="1"/>
  <c r="F5" i="1"/>
  <c r="J5" i="1" s="1"/>
  <c r="H6" i="1"/>
  <c r="L6" i="1" s="1"/>
  <c r="F10" i="1"/>
  <c r="J10" i="1" s="1"/>
  <c r="H11" i="1"/>
  <c r="L11" i="1" s="1"/>
  <c r="F15" i="1"/>
  <c r="J15" i="1" s="1"/>
  <c r="H17" i="1"/>
  <c r="L17" i="1" s="1"/>
  <c r="F21" i="1"/>
  <c r="J21" i="1" s="1"/>
  <c r="H23" i="1"/>
  <c r="L23" i="1" s="1"/>
  <c r="F27" i="1"/>
  <c r="J27" i="1" s="1"/>
  <c r="H29" i="1"/>
  <c r="L29" i="1" s="1"/>
  <c r="F33" i="1"/>
  <c r="J33" i="1" s="1"/>
  <c r="H34" i="1"/>
  <c r="L34" i="1" s="1"/>
  <c r="F37" i="1"/>
  <c r="J37" i="1" s="1"/>
</calcChain>
</file>

<file path=xl/sharedStrings.xml><?xml version="1.0" encoding="utf-8"?>
<sst xmlns="http://schemas.openxmlformats.org/spreadsheetml/2006/main" count="38" uniqueCount="38">
  <si>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</si>
  <si>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</si>
  <si>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</si>
  <si>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</si>
  <si>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</si>
  <si>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</si>
  <si>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</si>
  <si>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</si>
  <si>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</si>
  <si>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</si>
  <si>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</si>
  <si>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</si>
  <si>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</si>
  <si>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</si>
  <si>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</si>
  <si>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</si>
  <si>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</si>
  <si>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</si>
  <si>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</si>
  <si>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</si>
  <si>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</si>
  <si>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</si>
  <si>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Gearbox</t>
  </si>
  <si>
    <t>3rd Element T-Bar</t>
  </si>
  <si>
    <t>Rocker Axis Gearbox</t>
  </si>
  <si>
    <t>Rocker Axis Upper</t>
  </si>
  <si>
    <t>Arb Droplink on T-Bar</t>
  </si>
  <si>
    <t>Damper Rocker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</si>
  <si>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</si>
  <si>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</si>
  <si>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</si>
  <si>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</si>
  <si>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r>
      <t>Suspension Coordinates Rr V3 (Static)</t>
    </r>
    <r>
      <rPr>
        <b/>
        <sz val="11"/>
        <rFont val="Calibri"/>
        <family val="2"/>
        <scheme val="minor"/>
      </rPr>
      <t>iss1</t>
    </r>
  </si>
  <si>
    <t>Mick Lindley 12-3-20</t>
  </si>
  <si>
    <t>Theta Y</t>
  </si>
  <si>
    <t>Offset Z</t>
  </si>
  <si>
    <t>Rotation Y</t>
  </si>
  <si>
    <t>Shift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</si>
</sst>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0" borderId="0" xfId="0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0" xfId="0" applyFont="1" applyFill="1"/>
    <xf numFmtId="0" fontId="4" fillId="2" borderId="3" xfId="0" applyFont="1" applyFill="1" applyBorder="1"/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11" xfId="0" applyFont="1" applyBorder="1"/>
    <xf numFmtId="0" fontId="0" fillId="0" borderId="12" xfId="0" applyBorder="1"/>
    <xf numFmtId="164" fontId="0" fillId="0" borderId="12" xfId="0" applyNumberFormat="1" applyBorder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U43"/>
  <sheetViews>
    <sheetView tabSelected="1" workbookViewId="0">
      <selection activeCell="K3" sqref="K3"/>
    </sheetView>
  </sheetViews>
  <sheetFormatPr defaultRowHeight="15" x14ac:dyDescent="0.25"/>
  <cols>
    <col min="1" max="1" width="26.140625" customWidth="1"/>
    <col min="6" max="6" width="10.140625" bestFit="1" customWidth="1"/>
  </cols>
  <sheetData>
    <row r="1" spans="1:14" x14ac:dyDescent="0.25">
      <c r="A1" s="1" t="s">
        <v>32</v>
      </c>
      <c r="B1" s="1"/>
      <c r="C1" s="1"/>
      <c r="D1" s="15" t="s">
        <v>33</v>
      </c>
      <c r="E1" s="1"/>
      <c r="F1" s="1"/>
      <c r="G1" s="1"/>
      <c r="M1" s="1"/>
      <c r="N1" s="1"/>
    </row>
    <row r="3" spans="1:14" ht="15.75" thickBot="1" x14ac:dyDescent="0.3">
      <c r="F3" s="24" t="s">
        <v>34</v>
      </c>
      <c r="G3" s="25">
        <f>-0.365/57.325</f>
        <v>-6.3672045355429568E-3</v>
      </c>
      <c r="J3" s="24" t="s">
        <v>35</v>
      </c>
      <c r="K3" s="26">
        <v>75.998459436047995</v>
      </c>
    </row>
    <row r="4" spans="1:14" ht="15.75" thickBot="1" x14ac:dyDescent="0.3">
      <c r="A4" s="8"/>
      <c r="B4" s="13" t="s">
        <v>1</v>
      </c>
      <c r="C4" s="14" t="s">
        <v>2</v>
      </c>
      <c r="D4" s="9" t="s">
        <v>3</v>
      </c>
      <c r="F4" s="27" t="s">
        <v>36</v>
      </c>
      <c r="J4" s="28" t="s">
        <v>37</v>
      </c>
    </row>
    <row r="5" spans="1:14" x14ac:dyDescent="0.25">
      <c r="A5" s="10" t="s">
        <v>0</v>
      </c>
      <c r="B5" s="18">
        <v>3140</v>
      </c>
      <c r="C5" s="19">
        <v>-805.53200000000004</v>
      </c>
      <c r="D5" s="18">
        <v>-96</v>
      </c>
      <c r="F5" s="29">
        <f>COS($G$3)*B5+SIN($G$3)*D5</f>
        <v>3140.5475978893537</v>
      </c>
      <c r="G5" s="29">
        <f>C5</f>
        <v>-805.53200000000004</v>
      </c>
      <c r="H5" s="29">
        <f>-SIN($G$3)*B5+COS($G$3)*D5</f>
        <v>-76.005166873100393</v>
      </c>
      <c r="J5" s="29">
        <f>F5</f>
        <v>3140.5475978893537</v>
      </c>
      <c r="K5" s="29">
        <f>G5</f>
        <v>-805.53200000000004</v>
      </c>
      <c r="L5" s="29">
        <f>H5+$K$3</f>
        <v>-6.7074370523982907E-3</v>
      </c>
    </row>
    <row r="6" spans="1:14" x14ac:dyDescent="0.25">
      <c r="A6" s="10" t="s">
        <v>8</v>
      </c>
      <c r="B6" s="11">
        <v>3140</v>
      </c>
      <c r="C6" s="16">
        <v>-799.50099999999998</v>
      </c>
      <c r="D6" s="11">
        <v>249.94800000000001</v>
      </c>
      <c r="F6" s="29">
        <f t="shared" ref="F6:F38" si="0">COS($G$3)*B6+SIN($G$3)*D6</f>
        <v>3138.3448910981929</v>
      </c>
      <c r="G6" s="29">
        <f t="shared" ref="G6:G38" si="1">C6</f>
        <v>-799.50099999999998</v>
      </c>
      <c r="H6" s="29">
        <f t="shared" ref="H6:H38" si="2">-SIN($G$3)*B6+COS($G$3)*D6</f>
        <v>269.93582056087246</v>
      </c>
      <c r="J6" s="29">
        <f t="shared" ref="J6:K38" si="3">F6</f>
        <v>3138.3448910981929</v>
      </c>
      <c r="K6" s="29">
        <f t="shared" si="3"/>
        <v>-799.50099999999998</v>
      </c>
      <c r="L6" s="29">
        <f t="shared" ref="L6:L38" si="4">H6+$K$3</f>
        <v>345.93427999692045</v>
      </c>
    </row>
    <row r="7" spans="1:14" x14ac:dyDescent="0.25">
      <c r="A7" s="10" t="s">
        <v>6</v>
      </c>
      <c r="B7" s="11">
        <v>3140</v>
      </c>
      <c r="C7" s="16">
        <v>-612.20399999999995</v>
      </c>
      <c r="D7" s="11">
        <v>246.68299999999999</v>
      </c>
      <c r="F7" s="29">
        <f t="shared" si="0"/>
        <v>3138.3656798805332</v>
      </c>
      <c r="G7" s="29">
        <f t="shared" si="1"/>
        <v>-612.20399999999995</v>
      </c>
      <c r="H7" s="29">
        <f t="shared" si="2"/>
        <v>266.67088674431062</v>
      </c>
      <c r="J7" s="29">
        <f t="shared" si="3"/>
        <v>3138.3656798805332</v>
      </c>
      <c r="K7" s="29">
        <f t="shared" si="3"/>
        <v>-612.20399999999995</v>
      </c>
      <c r="L7" s="29">
        <f t="shared" si="4"/>
        <v>342.66934618035862</v>
      </c>
    </row>
    <row r="8" spans="1:14" x14ac:dyDescent="0.25">
      <c r="A8" s="10"/>
      <c r="B8" s="11"/>
      <c r="C8" s="16"/>
      <c r="D8" s="11"/>
      <c r="F8" s="29"/>
      <c r="G8" s="29"/>
      <c r="H8" s="29"/>
      <c r="J8" s="29"/>
      <c r="K8" s="29"/>
      <c r="L8" s="29"/>
    </row>
    <row r="9" spans="1:14" x14ac:dyDescent="0.25">
      <c r="A9" s="10" t="s">
        <v>13</v>
      </c>
      <c r="B9" s="11">
        <v>3070</v>
      </c>
      <c r="C9" s="16">
        <v>-643.56600000000003</v>
      </c>
      <c r="D9" s="11">
        <v>302.27</v>
      </c>
      <c r="E9" s="5"/>
      <c r="F9" s="29">
        <f t="shared" si="0"/>
        <v>3068.0131674139825</v>
      </c>
      <c r="G9" s="29">
        <f t="shared" si="1"/>
        <v>-643.56600000000003</v>
      </c>
      <c r="H9" s="29">
        <f t="shared" si="2"/>
        <v>321.81105865775129</v>
      </c>
      <c r="J9" s="29">
        <f t="shared" si="3"/>
        <v>3068.0131674139825</v>
      </c>
      <c r="K9" s="29">
        <f t="shared" si="3"/>
        <v>-643.56600000000003</v>
      </c>
      <c r="L9" s="29">
        <f t="shared" si="4"/>
        <v>397.80951809379928</v>
      </c>
      <c r="N9" s="3"/>
    </row>
    <row r="10" spans="1:14" x14ac:dyDescent="0.25">
      <c r="A10" s="10" t="s">
        <v>14</v>
      </c>
      <c r="B10" s="11">
        <v>2619.8710000000001</v>
      </c>
      <c r="C10" s="16">
        <v>-319.56599999999997</v>
      </c>
      <c r="D10" s="11">
        <v>289.85500000000002</v>
      </c>
      <c r="F10" s="29">
        <f t="shared" si="0"/>
        <v>2617.9723400993153</v>
      </c>
      <c r="G10" s="29">
        <f t="shared" si="1"/>
        <v>-319.56599999999997</v>
      </c>
      <c r="H10" s="29">
        <f t="shared" si="2"/>
        <v>306.53026627221544</v>
      </c>
      <c r="J10" s="29">
        <f t="shared" si="3"/>
        <v>2617.9723400993153</v>
      </c>
      <c r="K10" s="29">
        <f t="shared" si="3"/>
        <v>-319.56599999999997</v>
      </c>
      <c r="L10" s="29">
        <f t="shared" si="4"/>
        <v>382.52872570826344</v>
      </c>
    </row>
    <row r="11" spans="1:14" x14ac:dyDescent="0.25">
      <c r="A11" s="10" t="s">
        <v>15</v>
      </c>
      <c r="B11" s="11">
        <v>3005.1579999999999</v>
      </c>
      <c r="C11" s="16">
        <v>-198.62899999999999</v>
      </c>
      <c r="D11" s="11">
        <v>279.72399999999999</v>
      </c>
      <c r="F11" s="29">
        <f t="shared" si="0"/>
        <v>3003.3160358222976</v>
      </c>
      <c r="G11" s="29">
        <f t="shared" si="1"/>
        <v>-198.62899999999999</v>
      </c>
      <c r="H11" s="29">
        <f t="shared" si="2"/>
        <v>298.85265619137249</v>
      </c>
      <c r="J11" s="29">
        <f t="shared" si="3"/>
        <v>3003.3160358222976</v>
      </c>
      <c r="K11" s="29">
        <f t="shared" si="3"/>
        <v>-198.62899999999999</v>
      </c>
      <c r="L11" s="29">
        <f t="shared" si="4"/>
        <v>374.85111562742048</v>
      </c>
    </row>
    <row r="12" spans="1:14" x14ac:dyDescent="0.25">
      <c r="A12" s="10"/>
      <c r="B12" s="11"/>
      <c r="C12" s="16"/>
      <c r="D12" s="11"/>
      <c r="F12" s="29"/>
      <c r="G12" s="29"/>
      <c r="H12" s="29"/>
      <c r="J12" s="29"/>
      <c r="K12" s="29"/>
      <c r="L12" s="29"/>
    </row>
    <row r="13" spans="1:14" x14ac:dyDescent="0.25">
      <c r="A13" s="10" t="s">
        <v>16</v>
      </c>
      <c r="B13" s="11">
        <v>3084.9969999999998</v>
      </c>
      <c r="C13" s="16">
        <v>-686.91800000000001</v>
      </c>
      <c r="D13" s="11">
        <v>110.31100000000001</v>
      </c>
      <c r="F13" s="29">
        <f t="shared" si="0"/>
        <v>3084.2320973730275</v>
      </c>
      <c r="G13" s="29">
        <f t="shared" si="1"/>
        <v>-686.91800000000001</v>
      </c>
      <c r="H13" s="29">
        <f t="shared" si="2"/>
        <v>129.95143809890735</v>
      </c>
      <c r="J13" s="29">
        <f t="shared" si="3"/>
        <v>3084.2320973730275</v>
      </c>
      <c r="K13" s="29">
        <f t="shared" si="3"/>
        <v>-686.91800000000001</v>
      </c>
      <c r="L13" s="29">
        <f t="shared" si="4"/>
        <v>205.94989753495534</v>
      </c>
    </row>
    <row r="14" spans="1:14" x14ac:dyDescent="0.25">
      <c r="A14" s="10" t="s">
        <v>17</v>
      </c>
      <c r="B14" s="12">
        <v>2732.8649999999998</v>
      </c>
      <c r="C14" s="20">
        <v>-189.85400000000001</v>
      </c>
      <c r="D14" s="12">
        <v>151.54400000000001</v>
      </c>
      <c r="F14" s="29">
        <f t="shared" si="0"/>
        <v>2731.844698121638</v>
      </c>
      <c r="G14" s="29">
        <f t="shared" si="1"/>
        <v>-189.85400000000001</v>
      </c>
      <c r="H14" s="29">
        <f t="shared" si="2"/>
        <v>168.94152096419299</v>
      </c>
      <c r="J14" s="29">
        <f t="shared" si="3"/>
        <v>2731.844698121638</v>
      </c>
      <c r="K14" s="29">
        <f t="shared" si="3"/>
        <v>-189.85400000000001</v>
      </c>
      <c r="L14" s="29">
        <f t="shared" si="4"/>
        <v>244.93998040024098</v>
      </c>
    </row>
    <row r="15" spans="1:14" x14ac:dyDescent="0.25">
      <c r="A15" s="10" t="s">
        <v>18</v>
      </c>
      <c r="B15" s="11">
        <v>3212.5</v>
      </c>
      <c r="C15" s="16">
        <v>-132.88</v>
      </c>
      <c r="D15" s="11">
        <v>124.346</v>
      </c>
      <c r="F15" s="29">
        <f t="shared" si="0"/>
        <v>3211.6431497016433</v>
      </c>
      <c r="G15" s="29">
        <f t="shared" si="1"/>
        <v>-132.88</v>
      </c>
      <c r="H15" s="29">
        <f t="shared" si="2"/>
        <v>144.79798579575552</v>
      </c>
      <c r="J15" s="29">
        <f t="shared" si="3"/>
        <v>3211.6431497016433</v>
      </c>
      <c r="K15" s="29">
        <f t="shared" si="3"/>
        <v>-132.88</v>
      </c>
      <c r="L15" s="29">
        <f t="shared" si="4"/>
        <v>220.79644523180352</v>
      </c>
    </row>
    <row r="16" spans="1:14" x14ac:dyDescent="0.25">
      <c r="A16" s="10"/>
      <c r="B16" s="11"/>
      <c r="C16" s="16"/>
      <c r="D16" s="11"/>
      <c r="F16" s="29"/>
      <c r="G16" s="29"/>
      <c r="H16" s="29"/>
      <c r="J16" s="29"/>
      <c r="K16" s="29"/>
      <c r="L16" s="29"/>
    </row>
    <row r="17" spans="1:21" x14ac:dyDescent="0.25">
      <c r="A17" s="10" t="s">
        <v>4</v>
      </c>
      <c r="B17" s="11">
        <v>3094.9960000000001</v>
      </c>
      <c r="C17" s="16">
        <v>-632.71699999999998</v>
      </c>
      <c r="D17" s="11">
        <v>64.013999999999996</v>
      </c>
      <c r="F17" s="29">
        <f t="shared" si="0"/>
        <v>3094.5256751640909</v>
      </c>
      <c r="G17" s="29">
        <f t="shared" si="1"/>
        <v>-632.71699999999998</v>
      </c>
      <c r="H17" s="29">
        <f t="shared" si="2"/>
        <v>83.719041813841898</v>
      </c>
      <c r="J17" s="29">
        <f t="shared" si="3"/>
        <v>3094.5256751640909</v>
      </c>
      <c r="K17" s="29">
        <f t="shared" si="3"/>
        <v>-632.71699999999998</v>
      </c>
      <c r="L17" s="29">
        <f t="shared" si="4"/>
        <v>159.71750124988989</v>
      </c>
    </row>
    <row r="18" spans="1:21" x14ac:dyDescent="0.25">
      <c r="A18" s="10" t="s">
        <v>5</v>
      </c>
      <c r="B18" s="11">
        <v>3052.65</v>
      </c>
      <c r="C18" s="16">
        <v>-144.98599999999999</v>
      </c>
      <c r="D18" s="11">
        <v>370.13900000000001</v>
      </c>
      <c r="F18" s="29">
        <f t="shared" si="0"/>
        <v>3050.2313862237784</v>
      </c>
      <c r="G18" s="29">
        <f t="shared" si="1"/>
        <v>-144.98599999999999</v>
      </c>
      <c r="H18" s="29">
        <f t="shared" si="2"/>
        <v>389.56821266161796</v>
      </c>
      <c r="J18" s="29">
        <f t="shared" si="3"/>
        <v>3050.2313862237784</v>
      </c>
      <c r="K18" s="29">
        <f t="shared" si="3"/>
        <v>-144.98599999999999</v>
      </c>
      <c r="L18" s="29">
        <f t="shared" si="4"/>
        <v>465.56667209766596</v>
      </c>
    </row>
    <row r="19" spans="1:21" x14ac:dyDescent="0.25">
      <c r="A19" s="10"/>
      <c r="B19" s="11"/>
      <c r="C19" s="16"/>
      <c r="D19" s="11"/>
      <c r="F19" s="29"/>
      <c r="G19" s="29"/>
      <c r="H19" s="29"/>
      <c r="J19" s="29"/>
      <c r="K19" s="29"/>
      <c r="L19" s="29"/>
    </row>
    <row r="20" spans="1:21" x14ac:dyDescent="0.25">
      <c r="A20" s="10" t="s">
        <v>19</v>
      </c>
      <c r="B20" s="11">
        <v>3300</v>
      </c>
      <c r="C20" s="16">
        <v>-609.37800000000004</v>
      </c>
      <c r="D20" s="11">
        <v>249.63200000000001</v>
      </c>
      <c r="F20" s="29">
        <f t="shared" si="0"/>
        <v>3298.3436598287003</v>
      </c>
      <c r="G20" s="29">
        <f t="shared" si="1"/>
        <v>-609.37800000000004</v>
      </c>
      <c r="H20" s="29">
        <f t="shared" si="2"/>
        <v>270.63857280848379</v>
      </c>
      <c r="J20" s="29">
        <f t="shared" si="3"/>
        <v>3298.3436598287003</v>
      </c>
      <c r="K20" s="29">
        <f t="shared" si="3"/>
        <v>-609.37800000000004</v>
      </c>
      <c r="L20" s="29">
        <f t="shared" si="4"/>
        <v>346.63703224453178</v>
      </c>
    </row>
    <row r="21" spans="1:21" x14ac:dyDescent="0.25">
      <c r="A21" s="10" t="s">
        <v>20</v>
      </c>
      <c r="B21" s="11">
        <v>3267.5</v>
      </c>
      <c r="C21" s="16">
        <v>-136</v>
      </c>
      <c r="D21" s="11">
        <v>238</v>
      </c>
      <c r="E21" s="6"/>
      <c r="F21" s="29">
        <f t="shared" si="0"/>
        <v>3265.9183814452172</v>
      </c>
      <c r="G21" s="29">
        <f t="shared" si="1"/>
        <v>-136</v>
      </c>
      <c r="H21" s="29">
        <f t="shared" si="2"/>
        <v>258.79987584667242</v>
      </c>
      <c r="J21" s="29">
        <f t="shared" si="3"/>
        <v>3265.9183814452172</v>
      </c>
      <c r="K21" s="29">
        <f t="shared" si="3"/>
        <v>-136</v>
      </c>
      <c r="L21" s="29">
        <f t="shared" si="4"/>
        <v>334.79833528272042</v>
      </c>
      <c r="M21" s="6"/>
      <c r="N21" s="6"/>
      <c r="O21" s="6"/>
      <c r="P21" s="6"/>
      <c r="Q21" s="6"/>
      <c r="R21" s="6"/>
      <c r="S21" s="6"/>
      <c r="T21" s="7"/>
      <c r="U21" s="7"/>
    </row>
    <row r="22" spans="1:21" x14ac:dyDescent="0.25">
      <c r="A22" s="10"/>
      <c r="B22" s="11"/>
      <c r="C22" s="16"/>
      <c r="D22" s="11"/>
      <c r="F22" s="29"/>
      <c r="G22" s="29"/>
      <c r="H22" s="29"/>
      <c r="I22" s="3"/>
      <c r="J22" s="29"/>
      <c r="K22" s="29"/>
      <c r="L22" s="29"/>
    </row>
    <row r="23" spans="1:21" x14ac:dyDescent="0.25">
      <c r="A23" s="10" t="s">
        <v>21</v>
      </c>
      <c r="B23" s="11">
        <v>2628.364</v>
      </c>
      <c r="C23" s="16">
        <v>-168.03</v>
      </c>
      <c r="D23" s="11">
        <v>440.226</v>
      </c>
      <c r="F23" s="29">
        <f t="shared" si="0"/>
        <v>2625.5077314973951</v>
      </c>
      <c r="G23" s="29">
        <f t="shared" si="1"/>
        <v>-168.03</v>
      </c>
      <c r="H23" s="29">
        <f t="shared" si="2"/>
        <v>456.95229446781502</v>
      </c>
      <c r="J23" s="29">
        <f t="shared" si="3"/>
        <v>2625.5077314973951</v>
      </c>
      <c r="K23" s="29">
        <f t="shared" si="3"/>
        <v>-168.03</v>
      </c>
      <c r="L23" s="29">
        <f t="shared" si="4"/>
        <v>532.95075390386296</v>
      </c>
    </row>
    <row r="24" spans="1:21" x14ac:dyDescent="0.25">
      <c r="A24" s="10" t="s">
        <v>27</v>
      </c>
      <c r="B24" s="11">
        <v>2979.4270000000001</v>
      </c>
      <c r="C24" s="16">
        <v>-75.421999999999997</v>
      </c>
      <c r="D24" s="11">
        <v>443.072</v>
      </c>
      <c r="F24" s="29">
        <f t="shared" si="0"/>
        <v>2976.5454943056939</v>
      </c>
      <c r="G24" s="29">
        <f t="shared" si="1"/>
        <v>-75.421999999999997</v>
      </c>
      <c r="H24" s="29">
        <f t="shared" si="2"/>
        <v>462.03351160005019</v>
      </c>
      <c r="J24" s="29">
        <f t="shared" si="3"/>
        <v>2976.5454943056939</v>
      </c>
      <c r="K24" s="29">
        <f t="shared" si="3"/>
        <v>-75.421999999999997</v>
      </c>
      <c r="L24" s="29">
        <f t="shared" si="4"/>
        <v>538.03197103609818</v>
      </c>
    </row>
    <row r="25" spans="1:21" x14ac:dyDescent="0.25">
      <c r="A25" s="10"/>
      <c r="B25" s="11"/>
      <c r="C25" s="16"/>
      <c r="D25" s="11"/>
      <c r="F25" s="29"/>
      <c r="G25" s="29"/>
      <c r="H25" s="29"/>
      <c r="J25" s="29"/>
      <c r="K25" s="29"/>
      <c r="L25" s="29"/>
    </row>
    <row r="26" spans="1:21" x14ac:dyDescent="0.25">
      <c r="A26" s="10" t="s">
        <v>22</v>
      </c>
      <c r="B26" s="11">
        <v>2863.1619999999998</v>
      </c>
      <c r="C26" s="16">
        <v>0</v>
      </c>
      <c r="D26" s="11">
        <v>412.41800000000001</v>
      </c>
      <c r="E26" s="2"/>
      <c r="F26" s="29">
        <f t="shared" si="0"/>
        <v>2860.4780300335065</v>
      </c>
      <c r="G26" s="29">
        <f t="shared" si="1"/>
        <v>0</v>
      </c>
      <c r="H26" s="29">
        <f t="shared" si="2"/>
        <v>430.63985494102815</v>
      </c>
      <c r="J26" s="29">
        <f t="shared" si="3"/>
        <v>2860.4780300335065</v>
      </c>
      <c r="K26" s="29">
        <f t="shared" si="3"/>
        <v>0</v>
      </c>
      <c r="L26" s="29">
        <f t="shared" si="4"/>
        <v>506.63831437707614</v>
      </c>
      <c r="M26" s="2"/>
    </row>
    <row r="27" spans="1:21" x14ac:dyDescent="0.25">
      <c r="A27" s="10" t="s">
        <v>23</v>
      </c>
      <c r="B27" s="11">
        <v>3323.7020000000002</v>
      </c>
      <c r="C27" s="16">
        <v>0</v>
      </c>
      <c r="D27" s="11">
        <v>444.87200000000001</v>
      </c>
      <c r="E27" s="2"/>
      <c r="F27" s="29">
        <f t="shared" si="0"/>
        <v>3320.8020547616202</v>
      </c>
      <c r="G27" s="29">
        <f t="shared" si="1"/>
        <v>0</v>
      </c>
      <c r="H27" s="29">
        <f t="shared" si="2"/>
        <v>466.02552964295887</v>
      </c>
      <c r="J27" s="29">
        <f t="shared" si="3"/>
        <v>3320.8020547616202</v>
      </c>
      <c r="K27" s="29">
        <f t="shared" si="3"/>
        <v>0</v>
      </c>
      <c r="L27" s="29">
        <f t="shared" si="4"/>
        <v>542.02398907900692</v>
      </c>
      <c r="M27" s="2"/>
    </row>
    <row r="28" spans="1:21" x14ac:dyDescent="0.25">
      <c r="A28" s="10"/>
      <c r="B28" s="11"/>
      <c r="C28" s="16"/>
      <c r="D28" s="11"/>
      <c r="F28" s="29"/>
      <c r="G28" s="29"/>
      <c r="H28" s="29"/>
      <c r="J28" s="29"/>
      <c r="K28" s="29"/>
      <c r="L28" s="29"/>
    </row>
    <row r="29" spans="1:21" x14ac:dyDescent="0.25">
      <c r="A29" s="10" t="s">
        <v>24</v>
      </c>
      <c r="B29" s="11">
        <v>2992.9520000000002</v>
      </c>
      <c r="C29" s="16">
        <v>-135.00200000000001</v>
      </c>
      <c r="D29" s="11">
        <v>336.47199999999998</v>
      </c>
      <c r="F29" s="29">
        <f t="shared" si="0"/>
        <v>2990.748959563427</v>
      </c>
      <c r="G29" s="29">
        <f t="shared" si="1"/>
        <v>-135.00200000000001</v>
      </c>
      <c r="H29" s="29">
        <f t="shared" si="2"/>
        <v>355.52178830316433</v>
      </c>
      <c r="J29" s="29">
        <f t="shared" si="3"/>
        <v>2990.748959563427</v>
      </c>
      <c r="K29" s="29">
        <f t="shared" si="3"/>
        <v>-135.00200000000001</v>
      </c>
      <c r="L29" s="29">
        <f t="shared" si="4"/>
        <v>431.52024773921232</v>
      </c>
    </row>
    <row r="30" spans="1:21" x14ac:dyDescent="0.25">
      <c r="A30" s="10" t="s">
        <v>25</v>
      </c>
      <c r="B30" s="11">
        <v>3004.357</v>
      </c>
      <c r="C30" s="16">
        <v>-172.845</v>
      </c>
      <c r="D30" s="11">
        <v>417.62700000000001</v>
      </c>
      <c r="F30" s="29">
        <f t="shared" si="0"/>
        <v>3001.6370013848791</v>
      </c>
      <c r="G30" s="29">
        <f t="shared" si="1"/>
        <v>-172.845</v>
      </c>
      <c r="H30" s="29">
        <f t="shared" si="2"/>
        <v>436.74776072143896</v>
      </c>
      <c r="J30" s="29">
        <f t="shared" si="3"/>
        <v>3001.6370013848791</v>
      </c>
      <c r="K30" s="29">
        <f t="shared" si="3"/>
        <v>-172.845</v>
      </c>
      <c r="L30" s="29">
        <f t="shared" si="4"/>
        <v>512.74622015748696</v>
      </c>
    </row>
    <row r="31" spans="1:21" x14ac:dyDescent="0.25">
      <c r="A31" s="10"/>
      <c r="B31" s="12"/>
      <c r="C31" s="17"/>
      <c r="D31" s="12"/>
      <c r="F31" s="29"/>
      <c r="G31" s="29"/>
      <c r="H31" s="29"/>
      <c r="J31" s="29"/>
      <c r="K31" s="29"/>
      <c r="L31" s="29"/>
    </row>
    <row r="32" spans="1:21" x14ac:dyDescent="0.25">
      <c r="A32" s="10" t="s">
        <v>9</v>
      </c>
      <c r="B32" s="11">
        <v>3014.6120000000001</v>
      </c>
      <c r="C32" s="16">
        <v>-57.283999999999999</v>
      </c>
      <c r="D32" s="11">
        <v>446.58499999999998</v>
      </c>
      <c r="F32" s="29">
        <f t="shared" si="0"/>
        <v>3011.7074132469997</v>
      </c>
      <c r="G32" s="29">
        <f t="shared" si="1"/>
        <v>-57.283999999999999</v>
      </c>
      <c r="H32" s="29">
        <f t="shared" si="2"/>
        <v>465.7704689673497</v>
      </c>
      <c r="J32" s="29">
        <f t="shared" si="3"/>
        <v>3011.7074132469997</v>
      </c>
      <c r="K32" s="29">
        <f t="shared" si="3"/>
        <v>-57.283999999999999</v>
      </c>
      <c r="L32" s="29">
        <f t="shared" si="4"/>
        <v>541.76892840339769</v>
      </c>
    </row>
    <row r="33" spans="1:12" x14ac:dyDescent="0.25">
      <c r="A33" s="10" t="s">
        <v>26</v>
      </c>
      <c r="B33" s="11">
        <v>3351.1680000000001</v>
      </c>
      <c r="C33" s="16">
        <v>-100</v>
      </c>
      <c r="D33" s="11">
        <v>449.43799999999999</v>
      </c>
      <c r="F33" s="29">
        <f t="shared" si="0"/>
        <v>3348.2384255504471</v>
      </c>
      <c r="G33" s="29">
        <f t="shared" si="1"/>
        <v>-100</v>
      </c>
      <c r="H33" s="29">
        <f t="shared" si="2"/>
        <v>470.76631754561913</v>
      </c>
      <c r="J33" s="29">
        <f t="shared" si="3"/>
        <v>3348.2384255504471</v>
      </c>
      <c r="K33" s="29">
        <f t="shared" si="3"/>
        <v>-100</v>
      </c>
      <c r="L33" s="29">
        <f t="shared" si="4"/>
        <v>546.76477698166718</v>
      </c>
    </row>
    <row r="34" spans="1:12" x14ac:dyDescent="0.25">
      <c r="A34" s="10" t="s">
        <v>28</v>
      </c>
      <c r="B34" s="11">
        <v>3344.998</v>
      </c>
      <c r="C34" s="16">
        <v>0</v>
      </c>
      <c r="D34" s="11">
        <v>202</v>
      </c>
      <c r="F34" s="29">
        <f t="shared" si="0"/>
        <v>3343.6440283304132</v>
      </c>
      <c r="G34" s="29">
        <f t="shared" si="1"/>
        <v>0</v>
      </c>
      <c r="H34" s="29">
        <f t="shared" si="2"/>
        <v>223.29404787044012</v>
      </c>
      <c r="J34" s="29">
        <f t="shared" si="3"/>
        <v>3343.6440283304132</v>
      </c>
      <c r="K34" s="29">
        <f t="shared" si="3"/>
        <v>0</v>
      </c>
      <c r="L34" s="29">
        <f t="shared" si="4"/>
        <v>299.29250730648812</v>
      </c>
    </row>
    <row r="35" spans="1:12" ht="15.75" thickBot="1" x14ac:dyDescent="0.3">
      <c r="A35" s="21" t="s">
        <v>29</v>
      </c>
      <c r="B35" s="22">
        <v>3344.998</v>
      </c>
      <c r="C35" s="23">
        <v>-20</v>
      </c>
      <c r="D35" s="22">
        <v>202</v>
      </c>
      <c r="F35" s="29">
        <f t="shared" si="0"/>
        <v>3343.6440283304132</v>
      </c>
      <c r="G35" s="29">
        <f t="shared" si="1"/>
        <v>-20</v>
      </c>
      <c r="H35" s="29">
        <f t="shared" si="2"/>
        <v>223.29404787044012</v>
      </c>
      <c r="J35" s="29">
        <f t="shared" si="3"/>
        <v>3343.6440283304132</v>
      </c>
      <c r="K35" s="29">
        <f t="shared" si="3"/>
        <v>-20</v>
      </c>
      <c r="L35" s="29">
        <f t="shared" si="4"/>
        <v>299.29250730648812</v>
      </c>
    </row>
    <row r="36" spans="1:12" x14ac:dyDescent="0.25">
      <c r="A36" s="5"/>
      <c r="B36" s="5"/>
      <c r="C36" s="5"/>
      <c r="D36" s="5"/>
      <c r="F36" s="29">
        <f t="shared" si="0"/>
        <v>0</v>
      </c>
      <c r="G36" s="29">
        <f t="shared" si="1"/>
        <v>0</v>
      </c>
      <c r="H36" s="29">
        <f t="shared" si="2"/>
        <v>0</v>
      </c>
      <c r="J36" s="29">
        <f t="shared" si="3"/>
        <v>0</v>
      </c>
      <c r="K36" s="29">
        <f t="shared" si="3"/>
        <v>0</v>
      </c>
      <c r="L36" s="29">
        <f t="shared" si="4"/>
        <v>75.998459436047995</v>
      </c>
    </row>
    <row r="37" spans="1:12" x14ac:dyDescent="0.25">
      <c r="A37" s="5"/>
      <c r="B37" s="5"/>
      <c r="C37" s="5"/>
      <c r="D37" s="5"/>
      <c r="F37" s="29">
        <f t="shared" si="0"/>
        <v>0</v>
      </c>
      <c r="G37" s="29">
        <f t="shared" si="1"/>
        <v>0</v>
      </c>
      <c r="H37" s="29">
        <f t="shared" si="2"/>
        <v>0</v>
      </c>
      <c r="J37" s="29">
        <f t="shared" si="3"/>
        <v>0</v>
      </c>
      <c r="K37" s="29">
        <f t="shared" si="3"/>
        <v>0</v>
      </c>
      <c r="L37" s="29">
        <f t="shared" si="4"/>
        <v>75.998459436047995</v>
      </c>
    </row>
    <row r="38" spans="1:12" x14ac:dyDescent="0.25">
      <c r="A38" s="4" t="s">
        <v>7</v>
      </c>
      <c r="B38" s="5"/>
      <c r="C38" s="5"/>
      <c r="D38" s="5"/>
      <c r="F38" s="29">
        <f t="shared" si="0"/>
        <v>0</v>
      </c>
      <c r="G38" s="29">
        <f t="shared" si="1"/>
        <v>0</v>
      </c>
      <c r="H38" s="29">
        <f t="shared" si="2"/>
        <v>0</v>
      </c>
      <c r="J38" s="29">
        <f t="shared" si="3"/>
        <v>0</v>
      </c>
      <c r="K38" s="29">
        <f t="shared" si="3"/>
        <v>0</v>
      </c>
      <c r="L38" s="29">
        <f t="shared" si="4"/>
        <v>75.998459436047995</v>
      </c>
    </row>
    <row r="39" spans="1:12" x14ac:dyDescent="0.25">
      <c r="A39" s="5" t="s">
        <v>31</v>
      </c>
      <c r="B39" s="5"/>
      <c r="C39" s="5"/>
      <c r="D39" s="5"/>
    </row>
    <row r="40" spans="1:12" x14ac:dyDescent="0.25">
      <c r="A40" s="5" t="s">
        <v>30</v>
      </c>
      <c r="B40" s="5"/>
      <c r="C40" s="5"/>
      <c r="D40" s="5"/>
    </row>
    <row r="41" spans="1:12" x14ac:dyDescent="0.25">
      <c r="A41" s="5" t="s">
        <v>10</v>
      </c>
      <c r="B41" s="5"/>
      <c r="C41" s="5"/>
      <c r="D41" s="5"/>
    </row>
    <row r="42" spans="1:12" x14ac:dyDescent="0.25">
      <c r="A42" s="5" t="s">
        <v>11</v>
      </c>
      <c r="B42" s="5"/>
      <c r="C42" s="5"/>
      <c r="D42" s="5"/>
    </row>
    <row r="43" spans="1:12" x14ac:dyDescent="0.25">
      <c r="A43" s="5" t="s">
        <v>12</v>
      </c>
      <c r="B43" s="5"/>
      <c r="C43" s="5"/>
      <c r="D4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2020-03-13T16:35:35Z</dcterms:modified>
</cp:coreProperties>
</file>